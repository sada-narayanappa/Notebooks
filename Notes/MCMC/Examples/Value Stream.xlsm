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7820" windowHeight="11445" firstSheet="1" activeTab="2"/>
  </bookViews>
  <sheets>
    <sheet name="CB_DATA_" sheetId="6" state="veryHidden" r:id="rId1"/>
    <sheet name="Description" sheetId="7" r:id="rId2"/>
    <sheet name="Model" sheetId="4" r:id="rId3"/>
    <sheet name="Other Tables" sheetId="5" r:id="rId4"/>
  </sheets>
  <functionGroups builtInGroupCount="17"/>
  <externalReferences>
    <externalReference r:id="rId5"/>
  </externalReferences>
  <definedNames>
    <definedName name="_1__123Graph_ACHART_1" hidden="1">'[1]Teller 1'!#REF!</definedName>
    <definedName name="_2__123Graph_ACHART_2" hidden="1">'[1]Teller 1'!#REF!</definedName>
    <definedName name="_3__123Graph_ACHART_3" hidden="1">'[1]Teller 1'!#REF!</definedName>
    <definedName name="_4__123Graph_ACHART_4" hidden="1">'[1]Teller 1'!#REF!</definedName>
    <definedName name="CB_02c6745a8f06494b8a4827c93434c513" localSheetId="0" hidden="1">#N/A</definedName>
    <definedName name="CB_035962722da741d08ec3d163a1e3615e" localSheetId="2" hidden="1">Model!$S$23</definedName>
    <definedName name="CB_05a31e62eccc42af9370818265739e59" localSheetId="2" hidden="1">Model!$Y$8</definedName>
    <definedName name="CB_07cc5d13f5fc4c81bfa41cb6d0cccb4d" localSheetId="2" hidden="1">Model!$AJ$15</definedName>
    <definedName name="CB_0935ebe5ce20489591395377a73653a7" localSheetId="2" hidden="1">Model!$AK$15</definedName>
    <definedName name="CB_0a284891c60f44bb820503a9b8ff8420" localSheetId="2" hidden="1">Model!$AP$18</definedName>
    <definedName name="CB_0cc9eb9b0f4f4c4aa184aaaba31c03c7" localSheetId="2" hidden="1">Model!$Y$11</definedName>
    <definedName name="CB_0d11fde2ee554ca09a01fa7504e810a0" localSheetId="2" hidden="1">Model!$AD$14</definedName>
    <definedName name="CB_0e5924f3a0af4fd4b85532c8703028ce" localSheetId="2" hidden="1">Model!$AT$21</definedName>
    <definedName name="CB_0ee69adb67534241a7e0711def3a48ab" localSheetId="2" hidden="1">Model!$AJ$18</definedName>
    <definedName name="CB_0fb3bdcae307401daedf8ccffb2f97e6" localSheetId="2" hidden="1">Model!$AJ$17</definedName>
    <definedName name="CB_0fd586198107499b8937ffb2ad9e7020" localSheetId="2" hidden="1">Model!$AT$19</definedName>
    <definedName name="CB_108f5fa91ca145fc94154837be256ab9" localSheetId="2" hidden="1">Model!$AK$12</definedName>
    <definedName name="CB_1298b210fa1e4ec0b4e563c289356ebd" localSheetId="2" hidden="1">Model!$M$14</definedName>
    <definedName name="CB_134fbffb30004bc5bd42b34eec0575ab" localSheetId="2" hidden="1">Model!$M$16</definedName>
    <definedName name="CB_171f7772d394444c9390f07a01dfd3b3" localSheetId="2" hidden="1">Model!$AP$22</definedName>
    <definedName name="CB_1a18609d9c4c4172aad7390563720235" localSheetId="2" hidden="1">Model!$AP$14</definedName>
    <definedName name="CB_1d3053da88fe42fdac868787c42527ab" localSheetId="2" hidden="1">Model!$M$12</definedName>
    <definedName name="CB_208d49fb38664f22bae1c12503572e22" localSheetId="2" hidden="1">Model!$AJ$10</definedName>
    <definedName name="CB_230e5dd929d3445ea79f2f98434c4ec4" localSheetId="2" hidden="1">Model!$AK$17</definedName>
    <definedName name="CB_27a6826a69cb44edbd583ef801207d61" localSheetId="2" hidden="1">Model!$M$17</definedName>
    <definedName name="CB_28fa200f7d5447c58ea2ad9e78ea7495" localSheetId="2" hidden="1">Model!$AD$11</definedName>
    <definedName name="CB_29d4ca23cb6b493d8c51f68c87a4c4a4" localSheetId="2" hidden="1">Model!$M$7</definedName>
    <definedName name="CB_29f7144780eb4fd8a5edad0cddb28123" localSheetId="2" hidden="1">Model!$AJ$14</definedName>
    <definedName name="CB_2a30276e749b4667afa42cbeef137e0e" localSheetId="2" hidden="1">Model!$M$21</definedName>
    <definedName name="CB_2b95880ddf53426f887400b7a144018c" localSheetId="2" hidden="1">Model!$AP$11</definedName>
    <definedName name="CB_31c49e94110e4ca89ca7dbf53eb24d3f" localSheetId="2" hidden="1">Model!$Y$18</definedName>
    <definedName name="CB_31e11dae25cb4c928756b838f4cbc3fb" localSheetId="2" hidden="1">Model!$Y$10</definedName>
    <definedName name="CB_329dc28df55640c284b6baa83e4cdd7c" localSheetId="2" hidden="1">Model!$AJ$16</definedName>
    <definedName name="CB_3367d6d1aefd4d25865b349e4ac96960" localSheetId="2" hidden="1">Model!$AK$7</definedName>
    <definedName name="CB_33725a0abb8a43769d0853d7bac88297" localSheetId="2" hidden="1">Model!$Y$6</definedName>
    <definedName name="CB_346d8fe755474ee991e0b00e39b9e55b" localSheetId="2" hidden="1">Model!$AD$7</definedName>
    <definedName name="CB_351d5cace24747bf9db4523653868115" localSheetId="2" hidden="1">Model!$AT$18</definedName>
    <definedName name="CB_36069b90245d48569f6637df3c61c804" localSheetId="2" hidden="1">Model!$AK$21</definedName>
    <definedName name="CB_36d9d6477eff49b0bc8098b5380e9341" localSheetId="2" hidden="1">Model!$AD$13</definedName>
    <definedName name="CB_385576ab943e4c369533d559254c008e" localSheetId="2" hidden="1">Model!$Y$12</definedName>
    <definedName name="CB_3e5e3efe250249e3ace1082523a33533" localSheetId="2" hidden="1">Model!$AD$19</definedName>
    <definedName name="CB_40e628767a4e44bfb1b2c828cff0b97f" localSheetId="2" hidden="1">Model!$M$13</definedName>
    <definedName name="CB_441e35739abc4c09a3bbc7557749356b" localSheetId="2" hidden="1">Model!$M$20</definedName>
    <definedName name="CB_449dd1e8e8094451914b9199912dddc4" localSheetId="2" hidden="1">Model!$AD$10</definedName>
    <definedName name="CB_44c3ae176a7a446ca9d6571b0edde3d6" localSheetId="2" hidden="1">Model!$AJ$11</definedName>
    <definedName name="CB_45ea4cf616d24ce99b50a79eebb53f76" localSheetId="2" hidden="1">Model!$M$10</definedName>
    <definedName name="CB_4622462de8054535977a2b137ef61962" localSheetId="2" hidden="1">Model!$AD$12</definedName>
    <definedName name="CB_4a0fd8430f23439fbcd33e9e06f5d351" localSheetId="2" hidden="1">Model!$AK$22</definedName>
    <definedName name="CB_4c1ad2cd9fd54c90aee69fd6da99a900" localSheetId="2" hidden="1">Model!$AT$20</definedName>
    <definedName name="CB_4d5c4c7d4fe54a41b4a7ff2ffe17f50c" localSheetId="2" hidden="1">Model!$M$6</definedName>
    <definedName name="CB_520cfa1264da4f3287829ce6c1796107" localSheetId="2" hidden="1">Model!$M$18</definedName>
    <definedName name="CB_54414693e576422da55964b15a735f1d" localSheetId="2" hidden="1">Model!$AT$8</definedName>
    <definedName name="CB_55ca54cf00d14bcb881eed5dcfca81ca" localSheetId="2" hidden="1">Model!$AP$15</definedName>
    <definedName name="CB_561bad05b54e41f3b3f8ccce31525355" localSheetId="2" hidden="1">Model!$AJ$19</definedName>
    <definedName name="CB_5635e1c8f7a74818a899447a4b85e5cc" localSheetId="2" hidden="1">Model!$AT$15</definedName>
    <definedName name="CB_591fb7accab94681a38710f56d0c58b5" localSheetId="2" hidden="1">Model!$I$23</definedName>
    <definedName name="CB_5b3c1b7d663c4c57adec1cd774c973b9" localSheetId="2" hidden="1">Model!$AP$20</definedName>
    <definedName name="CB_5f5ddb719230400eb2d28b055d44cd69" localSheetId="2" hidden="1">Model!$AT$17</definedName>
    <definedName name="CB_62651b6749ce4731af9a0772a9d10c83" localSheetId="2" hidden="1">Model!$AJ$22</definedName>
    <definedName name="CB_64aced399d004f958461b8626a823269" localSheetId="2" hidden="1">Model!$AK$6</definedName>
    <definedName name="CB_6823b32caff14178b667985d6cf43f1b" localSheetId="2" hidden="1">Model!$Y$14</definedName>
    <definedName name="CB_69f3a17972f24b20b844162962f2baf3" localSheetId="2" hidden="1">Model!$Y$21</definedName>
    <definedName name="CB_6a85e967b9d34528a3ae00f3d2547260" localSheetId="2" hidden="1">Model!$AK$20</definedName>
    <definedName name="CB_6dd9e3b0e6b44038aa8e3b2241e57215" localSheetId="2" hidden="1">Model!$AJ$13</definedName>
    <definedName name="CB_6eff599ad2f3410eaf24882f92ee03fe" localSheetId="2" hidden="1">Model!$M$15</definedName>
    <definedName name="CB_73353be29b074867bc56c77ab53b4fd4" localSheetId="2" hidden="1">Model!$AJ$20</definedName>
    <definedName name="CB_778227d7547c4d61aab96c68f48624f9" localSheetId="2" hidden="1">Model!$AJ$12</definedName>
    <definedName name="CB_78e59e708ed94a138a0f187cc6d29b82" localSheetId="2" hidden="1">Model!$AD$8</definedName>
    <definedName name="CB_7b488bb5f65c408c9c6ee4c5e53fd030" localSheetId="2" hidden="1">Model!$AJ$9</definedName>
    <definedName name="CB_7ce05fdd508b4708aff83ed356093738" localSheetId="2" hidden="1">Model!$AP$16</definedName>
    <definedName name="CB_7eb9f91d56844f38809941a397f02314" localSheetId="2" hidden="1">Model!$AT$7</definedName>
    <definedName name="CB_7f2cd492e6704519996bd2909c7b5163" localSheetId="2" hidden="1">Model!$AD$22</definedName>
    <definedName name="CB_85baaacb091c4ffa9d6d978278c70227" localSheetId="2" hidden="1">Model!$AJ$7</definedName>
    <definedName name="CB_86fa539786f0418dbbd3ce3c02b723a7" localSheetId="2" hidden="1">Model!$Y$7</definedName>
    <definedName name="CB_8726493485984487a1229358bdfee758" localSheetId="2" hidden="1">Model!$M$8</definedName>
    <definedName name="CB_8787a7af2ccd4c50958de3a48683a3bb" localSheetId="2" hidden="1">Model!$Y$13</definedName>
    <definedName name="CB_89353cb30dcb4c7cb96417cff81333b2" localSheetId="2" hidden="1">Model!$AK$18</definedName>
    <definedName name="CB_8a13d7677669414093ba66f529ed0756" localSheetId="2" hidden="1">Model!$AT$16</definedName>
    <definedName name="CB_8bff95223f4a4623b9ee229de7fed3d3" localSheetId="2" hidden="1">Model!$AT$22</definedName>
    <definedName name="CB_903effde169e49008055bff05a792f27" localSheetId="2" hidden="1">Model!$AK$11</definedName>
    <definedName name="CB_90b88e88318344768e6730a2f0df090a" localSheetId="2" hidden="1">Model!$AP$8</definedName>
    <definedName name="CB_9122be86117547ffb5d0892d0ff2d30c" localSheetId="2" hidden="1">Model!$AD$6</definedName>
    <definedName name="CB_957de8cb5120421d82e437580a60746b" localSheetId="2" hidden="1">Model!$AP$13</definedName>
    <definedName name="CB_9581c73f9cfd4564908722d87d7e396c" localSheetId="2" hidden="1">Model!$AK$19</definedName>
    <definedName name="CB_95869a6202c8478789065f9f7c0fbd69" localSheetId="2" hidden="1">Model!$AP$17</definedName>
    <definedName name="CB_9602818051dc45be88e4189456bb61c9" localSheetId="2" hidden="1">Model!$AP$10</definedName>
    <definedName name="CB_962db11bf532484e8eeffda5bf659049" localSheetId="2" hidden="1">Model!$AJ$6</definedName>
    <definedName name="CB_9791af105aa64429912e05ddce420b45" localSheetId="2" hidden="1">Model!$AP$12</definedName>
    <definedName name="CB_9a78f8375a4c404fbc51eae1a4ee3a9b" localSheetId="2" hidden="1">Model!$AD$18</definedName>
    <definedName name="CB_9ac6fa5252944a1fb9f033567b1d2503" localSheetId="2" hidden="1">Model!$AP$19</definedName>
    <definedName name="CB_9acadaafe8e64b89a1e8a5800b265650" localSheetId="2" hidden="1">Model!$M$9</definedName>
    <definedName name="CB_9ee4e3b2a83f45e3a64f55cf7ad81f08" localSheetId="2" hidden="1">Model!$AJ$21</definedName>
    <definedName name="CB_a08678d2a39249289060f9482b96b87e" localSheetId="2" hidden="1">Model!$Y$16</definedName>
    <definedName name="CB_a2260d5da7bf408295d4d868c0144f25" localSheetId="2" hidden="1">Model!$Y$22</definedName>
    <definedName name="CB_a3a93f2598fe4067b381918d277a79c0" localSheetId="2" hidden="1">Model!$AT$9</definedName>
    <definedName name="CB_a590e7ad76104705a9d21a9df8fb3ab1" localSheetId="2" hidden="1">Model!$AJ$8</definedName>
    <definedName name="CB_a82ae748c34044528e45e5f8249f657f" localSheetId="2" hidden="1">Model!$M$11</definedName>
    <definedName name="CB_ae8d8453effe401294fa55459bb291d7" localSheetId="2" hidden="1">Model!$AD$17</definedName>
    <definedName name="CB_b63512da4e6e4740bb50745dffc98b61" localSheetId="2" hidden="1">Model!$AD$15</definedName>
    <definedName name="CB_b930e04d97604249ae22471530a2f1a0" localSheetId="2" hidden="1">Model!$AP$21</definedName>
    <definedName name="CB_bb7eb96bbab74e23a9a01e686014ad3a" localSheetId="2" hidden="1">Model!$AK$10</definedName>
    <definedName name="CB_bc01a7c5541f4aa39acbce9493d8029f" localSheetId="2" hidden="1">Model!$AT$13</definedName>
    <definedName name="CB_bdc483f4d57f42b5ba026ae6ba093886" localSheetId="2" hidden="1">Model!$M$22</definedName>
    <definedName name="CB_Block_00000000000000000000000000000000" localSheetId="0" hidden="1">"'7.0.0.0"</definedName>
    <definedName name="CB_Block_00000000000000000000000000000000" localSheetId="2" hidden="1">"'7.0.0.0"</definedName>
    <definedName name="CB_Block_00000000000000000000000000000001" localSheetId="0" hidden="1">"'635303114999985974"</definedName>
    <definedName name="CB_Block_00000000000000000000000000000001" localSheetId="2" hidden="1">"'635303114999895968"</definedName>
    <definedName name="CB_Block_00000000000000000000000000000003" localSheetId="0" hidden="1">"'11.1.3833.0"</definedName>
    <definedName name="CB_Block_00000000000000000000000000000003" localSheetId="2" hidden="1">"'11.1.3833.0"</definedName>
    <definedName name="CB_BlockExt_00000000000000000000000000000003" localSheetId="0" hidden="1">"'11.1.2.4.000"</definedName>
    <definedName name="CB_BlockExt_00000000000000000000000000000003" localSheetId="2" hidden="1">"'11.1.2.4.000"</definedName>
    <definedName name="CB_c12073bd008f49228c37366f5e184573" localSheetId="2" hidden="1">Model!$AK$8</definedName>
    <definedName name="CB_c4561443fb5241f39a2f8073947678d1" localSheetId="2" hidden="1">Model!$AT$6</definedName>
    <definedName name="CB_c6f6e71fd59040cb81e141f5c0bbf75b" localSheetId="2" hidden="1">Model!$AK$14</definedName>
    <definedName name="CB_c88085ae7bb44a509d136dddf5fefac4" localSheetId="2" hidden="1">Model!$AT$11</definedName>
    <definedName name="CB_c985e9ec030348d7a2f29574eb93d296" localSheetId="2" hidden="1">Model!$M$19</definedName>
    <definedName name="CB_cb80bf8661524a969122fbd6c963a84e" localSheetId="2" hidden="1">Model!$Y$17</definedName>
    <definedName name="CB_d18ce7d1f28643a9bb1ae95b6614f32b" localSheetId="2" hidden="1">Model!$Y$20</definedName>
    <definedName name="CB_d3cbdeaf57fe4582b5120a95437702f0" localSheetId="2" hidden="1">Model!$AD$16</definedName>
    <definedName name="CB_d89f4987cf9445da9b9196002f5ee82f" localSheetId="2" hidden="1">Model!$Y$19</definedName>
    <definedName name="CB_d9785680b5f94859b0a29de2dc9a3fdf" localSheetId="2" hidden="1">Model!$Y$15</definedName>
    <definedName name="CB_db250665f746475cbfafc527570eafa5" localSheetId="2" hidden="1">Model!$AP$7</definedName>
    <definedName name="CB_e0786dbac0454addaabb7f0fb879ab08" localSheetId="2" hidden="1">Model!$Y$9</definedName>
    <definedName name="CB_e1ee29da86ab4ce18a5c0f33cbd6acd8" localSheetId="2" hidden="1">Model!$AT$12</definedName>
    <definedName name="CB_e2759edf8a9c404785e58f412078bf29" localSheetId="2" hidden="1">Model!$AK$9</definedName>
    <definedName name="CB_ed1aa78fba0b4ab0a3093841ec4d85c5" localSheetId="2" hidden="1">Model!$AK$13</definedName>
    <definedName name="CB_f343eefc5b0141a6b19fefef2636e676" localSheetId="2" hidden="1">Model!$AK$16</definedName>
    <definedName name="CB_f41f7d410bcf456ca0868dee7a30b08b" localSheetId="2" hidden="1">Model!$AD$20</definedName>
    <definedName name="CB_f52a477c3c714aaa8faa6b04b246d0e3" localSheetId="2" hidden="1">Model!$AP$6</definedName>
    <definedName name="CB_f5bf3dd80e36496799f5d58c1f4a2368" localSheetId="2" hidden="1">Model!$AD$9</definedName>
    <definedName name="CB_f84ab8dd00e343ec9ef71478ab68860b" localSheetId="2" hidden="1">Model!$AD$21</definedName>
    <definedName name="CB_f89112f95b974cb5a500f2abda418137" localSheetId="2" hidden="1">Model!$AT$10</definedName>
    <definedName name="CB_fcdcae1c515c4d06a41e304b3dfd43e3" localSheetId="2" hidden="1">Model!$AP$9</definedName>
    <definedName name="CB_fed031cc3a004aa4aed27a33aab010b8" localSheetId="2" hidden="1">Model!$AT$14</definedName>
    <definedName name="CBCR_005ba232e2274c31afac6d967387bc50" localSheetId="2" hidden="1">Model!$Q$1</definedName>
    <definedName name="CBCR_01e60d4ddd644ecdbb4eaff65f5320f4" localSheetId="2" hidden="1">"Fixed Cost - " &amp; Model!$C$14</definedName>
    <definedName name="CBCR_032e42eac1264bb491307cd9f0841104" localSheetId="2" hidden="1">Model!$AB$15</definedName>
    <definedName name="CBCR_04c8efcf649a4aef9f1561c2b5307a19" localSheetId="2" hidden="1">Model!$AB$13</definedName>
    <definedName name="CBCR_04e3eac8380a403f8de2b4074b44687a" localSheetId="2" hidden="1">Model!$AQ$16</definedName>
    <definedName name="CBCR_057beea945e74e88adeb6e9aeccd2625" localSheetId="2" hidden="1">Model!$AM$18</definedName>
    <definedName name="CBCR_05b36292f5854fbc8eadcd47931d8a05" localSheetId="2" hidden="1">Model!$AN$12</definedName>
    <definedName name="CBCR_05c54d89d6964103923f3c864879fd9a" localSheetId="2" hidden="1">Model!$AA$19</definedName>
    <definedName name="CBCR_05d00fb912c34aa39742fc271f64e272" localSheetId="2" hidden="1">Model!$AR$8</definedName>
    <definedName name="CBCR_06137bb1726240d18b29f33fd0bca1cd" localSheetId="2" hidden="1">Model!$AA$8</definedName>
    <definedName name="CBCR_0724ecec716a4b5a944d11f46fb8cc09" localSheetId="2" hidden="1">Model!$X$10</definedName>
    <definedName name="CBCR_072eee32bc0f4fb0bbf234abcc94d403" localSheetId="2" hidden="1">Model!$AS$10</definedName>
    <definedName name="CBCR_083803c971624c2bb196f3615a31b10a" localSheetId="2" hidden="1">Model!$AQ$19</definedName>
    <definedName name="CBCR_0881352e9bab4e219ef5cf89aa54f4ac" localSheetId="2" hidden="1">Model!$AN$13</definedName>
    <definedName name="CBCR_08b8606c60ef46acab53679cdd7960b6" localSheetId="2" hidden="1">"CycleTime - " &amp; Model!$C$15</definedName>
    <definedName name="CBCR_08e8d4537e2e4690902e18e19b148f90" localSheetId="2" hidden="1">"VA% - " &amp; Model!$C$11</definedName>
    <definedName name="CBCR_0989cff7f5874176a606fff2f969caa3" localSheetId="2" hidden="1">Model!$AA$21</definedName>
    <definedName name="CBCR_099148ca054d437abb36da2025daf7b4" localSheetId="2" hidden="1">Model!$AN$14</definedName>
    <definedName name="CBCR_0ad4b6650f154e249ba5804e94733ee9" localSheetId="2" hidden="1">Model!$AB$6</definedName>
    <definedName name="CBCR_0b0f96213fe64712aed9f6b38db6a35f" localSheetId="2" hidden="1">Model!$AB$14</definedName>
    <definedName name="CBCR_0bc41ca91ec84f6abc183d7ee79f26fa" localSheetId="2" hidden="1">Model!$AC$9</definedName>
    <definedName name="CBCR_0c0f9ffb022447a5b0d3b089726217f9" localSheetId="2" hidden="1">Model!$AM$19</definedName>
    <definedName name="CBCR_0c5c47d39ff34d1cb5dc5de766d12f9e" localSheetId="2" hidden="1">Model!$AQ$18</definedName>
    <definedName name="CBCR_0c65dd7510d94c0fb3eff56e7693146b" localSheetId="2" hidden="1">Model!$AO$10</definedName>
    <definedName name="CBCR_0e376da4ced64758a1d77990176054ef" localSheetId="2" hidden="1">Model!$AM$10</definedName>
    <definedName name="CBCR_0e84d5ffbeeb4b8e85805e45af3f3846" localSheetId="2" hidden="1">Model!$AM$11</definedName>
    <definedName name="CBCR_0ef930391de24a61bc1ba0f95cb66bca" localSheetId="2" hidden="1">Model!$AB$9</definedName>
    <definedName name="CBCR_0f824f09b25a493ebc346a3c17394380" localSheetId="2" hidden="1">Model!$AB$21</definedName>
    <definedName name="CBCR_10bf2a73e4c1452cb75619fb8b55e605" localSheetId="2" hidden="1">Model!$AI$6</definedName>
    <definedName name="CBCR_116071fcee6e43db8cdcb0d7857aff06" localSheetId="2" hidden="1">Model!$AJ$7</definedName>
    <definedName name="CBCR_1201ae61421b4ec9b5b163cf81fa0d98" localSheetId="2" hidden="1">Model!$AI$10</definedName>
    <definedName name="CBCR_12abb06410264581a93d120ee3649575" localSheetId="2" hidden="1">Model!$AA$15</definedName>
    <definedName name="CBCR_137a6fbcf6ec43c2b0de01f4d3cd558c" localSheetId="2" hidden="1">Model!$AQ$15</definedName>
    <definedName name="CBCR_16151c4f44a14c4fb1aa4558e24a4b08" localSheetId="2" hidden="1">"CycleTime - " &amp; Model!$C$13</definedName>
    <definedName name="CBCR_1686fe2395464b68af7da7574e7bfc3c" localSheetId="2" hidden="1">"Fixed Cost - " &amp; Model!$C$18</definedName>
    <definedName name="CBCR_16d4dd43af914353b5247e38d919089b" localSheetId="2" hidden="1">Model!$AS$15</definedName>
    <definedName name="CBCR_19ce4a74241f4c44a18f5035eb978709" localSheetId="2" hidden="1">"VA% - " &amp; Model!$C$10</definedName>
    <definedName name="CBCR_1a4b1339d78f4e0bb786ed2206581d51" localSheetId="2" hidden="1">Model!$X$19</definedName>
    <definedName name="CBCR_1b226781451d408f8e35dfc1ef5c7c02" localSheetId="2" hidden="1">Model!$AQ$7</definedName>
    <definedName name="CBCR_1bb5c8adbbc64fb7931556475355b160" localSheetId="2" hidden="1">Model!$AA$22</definedName>
    <definedName name="CBCR_1bfc5c1727ed44c9b8a295262a38a9c9" localSheetId="2" hidden="1">"VA% - " &amp; Model!$C$17</definedName>
    <definedName name="CBCR_1c8aac6b8d4447ea913b646938c9eae3" localSheetId="2" hidden="1">Model!$AC$18</definedName>
    <definedName name="CBCR_1d2b90611fe0418b8f571d55bd370570" localSheetId="2" hidden="1">Model!$AH$20</definedName>
    <definedName name="CBCR_1d2c2f24e0a4423cae92cab3da3426a7" localSheetId="2" hidden="1">Model!$AR$20</definedName>
    <definedName name="CBCR_1d3651853c9e44caab2478a6b93e8aaf" localSheetId="2" hidden="1">Model!$AI$18</definedName>
    <definedName name="CBCR_1e94ad74972a4915bd80f5058f2a4f86" localSheetId="2" hidden="1">"VA% - " &amp; Model!$C$12</definedName>
    <definedName name="CBCR_1f110bf4f07841548aa7e73ac5b940c3" localSheetId="2" hidden="1">Model!$AC$15</definedName>
    <definedName name="CBCR_1f2fbd25e8d4498f9f7a10563e6fe8cc" localSheetId="2" hidden="1">Model!$AI$15</definedName>
    <definedName name="CBCR_1f6bca2190904575a90fbafb6a70dad6" localSheetId="2" hidden="1">Model!$W$10</definedName>
    <definedName name="CBCR_1ffaad70527d43358fcb9f8404137da8" localSheetId="2" hidden="1">Model!$Q$1</definedName>
    <definedName name="CBCR_200a0c1cbf5d4d57a3c30fa6e30fb45e" localSheetId="2" hidden="1">Model!$AI$7</definedName>
    <definedName name="CBCR_20d1e1e632bd42da8d2606d5ee072e3b" localSheetId="2" hidden="1">"Vbl Costs - " &amp; Model!$C$19</definedName>
    <definedName name="CBCR_2108e0076ae640cdb029a941ea2b079e" localSheetId="2" hidden="1">"CycleTime - " &amp; Model!$C$8</definedName>
    <definedName name="CBCR_2180af8480d84836af9c8b7b5a43604f" localSheetId="2" hidden="1">"CycleTime - " &amp; Model!$C$10</definedName>
    <definedName name="CBCR_22c848c86c624691a991add4fe9527c4" localSheetId="2" hidden="1">"Vbl Costs - " &amp; Model!$C$15</definedName>
    <definedName name="CBCR_242972f3d463405ca4746b49b69b8f5e" localSheetId="2" hidden="1">Model!$X$17</definedName>
    <definedName name="CBCR_243f4ece6d294254beff2933ccada1d8" localSheetId="2" hidden="1">"Defect - "&amp; Model!$C$21</definedName>
    <definedName name="CBCR_24d988fa9eba4cffbbb8adde3a204ff9" localSheetId="2" hidden="1">Model!$AO$19</definedName>
    <definedName name="CBCR_253bad1d950948e08518a76a66d3462f" localSheetId="2" hidden="1">Model!$AQ$6</definedName>
    <definedName name="CBCR_2870141479c141f4b172b174746f2f8e" localSheetId="2" hidden="1">Model!$AG$15</definedName>
    <definedName name="CBCR_29c35499d5744029b6ccf91bd38e200f" localSheetId="2" hidden="1">Model!$V$16</definedName>
    <definedName name="CBCR_29ed3a40befc4b9b804c83f9c87c6df9" localSheetId="2" hidden="1">"CycleTime - " &amp; Model!$C$12</definedName>
    <definedName name="CBCR_2a003622c4cd4f57888c5ab0d385ab64" localSheetId="2" hidden="1">"Defect % - " &amp; Model!$C$15</definedName>
    <definedName name="CBCR_2a83903254474ab5ad5663ef6f52b0e8" localSheetId="2" hidden="1">Model!$AA$6</definedName>
    <definedName name="CBCR_2a83f2f8a3db4e31bd8f3b21bd1d8df9" localSheetId="2" hidden="1">Model!$AQ$21</definedName>
    <definedName name="CBCR_2a84affcaf824f95a2153b51918d062d" localSheetId="2" hidden="1">Model!$AQ$8</definedName>
    <definedName name="CBCR_2ad4bc2faefb47b39b9b16a6a10b7e58" localSheetId="2" hidden="1">Model!$AM$14</definedName>
    <definedName name="CBCR_2ae596a1bf62481d88d8624981642d50" localSheetId="2" hidden="1">Model!$AG$19</definedName>
    <definedName name="CBCR_2b3b440f9e9441e287ca5383954dbe9d" localSheetId="2" hidden="1">Model!$AN$15</definedName>
    <definedName name="CBCR_2b9e2432e82b4709be2fd0cd5b0ba960" localSheetId="2" hidden="1">"VA% - " &amp; Model!$C$22</definedName>
    <definedName name="CBCR_2ba1428ee85745b8ae13d8d5fc4c96a0" localSheetId="2" hidden="1">Model!$AB$17</definedName>
    <definedName name="CBCR_2bfa52b3aac24909ac345b6e52acf50b" localSheetId="2" hidden="1">Model!$X$21</definedName>
    <definedName name="CBCR_2c714e2009bb448e91dd02188fe06d65" localSheetId="2" hidden="1">"Defect % - " &amp; Model!$C$20</definedName>
    <definedName name="CBCR_2caafac2451f4a88969246a33e23cfc7" localSheetId="2" hidden="1">Model!$AB$22</definedName>
    <definedName name="CBCR_2d24c8e4e73d47a48fc03959374cb757" localSheetId="2" hidden="1">Model!$AM$20</definedName>
    <definedName name="CBCR_2d46dcd4d6e34a139bcb86035586ef4d" localSheetId="2" hidden="1">Model!$W$17</definedName>
    <definedName name="CBCR_2ea8b35bfd734716aa3121970984a2f1" localSheetId="2" hidden="1">Model!$O$6</definedName>
    <definedName name="CBCR_2ed250d4ff3347f6886e501c70a559b7" localSheetId="2" hidden="1">Model!$AG$20</definedName>
    <definedName name="CBCR_2edaace4b6354277a01351ab02ecc542" localSheetId="2" hidden="1">Model!$AA$16</definedName>
    <definedName name="CBCR_304c73a5e49d4d2298a34f954853ceab" localSheetId="2" hidden="1">Model!$AH$22</definedName>
    <definedName name="CBCR_30aad93f40b3457f87dfa76f3f18db4b" localSheetId="2" hidden="1">"Defect - "&amp; Model!$C$11</definedName>
    <definedName name="CBCR_30cad35dd1c8445f882ca05ce6e47f69" localSheetId="2" hidden="1">"VA% - " &amp; Model!$C$15</definedName>
    <definedName name="CBCR_31346a501ab34213b89dfce32e36fa69" localSheetId="2" hidden="1">Model!$AS$7</definedName>
    <definedName name="CBCR_31dbc81a738c4390810f6e5e74ab641e" localSheetId="2" hidden="1">Model!$AM$21</definedName>
    <definedName name="CBCR_31e8e9b04a534fc998d880fbeb3e6bec" localSheetId="2" hidden="1">"VA% - " &amp; Model!$C$6</definedName>
    <definedName name="CBCR_32728861f2f34f56ab5a11a51cc4d015" localSheetId="2" hidden="1">Model!$V$12</definedName>
    <definedName name="CBCR_33c1256134dd4e1aaa188f1affe89226" localSheetId="2" hidden="1">Model!$AO$11</definedName>
    <definedName name="CBCR_343e38abbcb0442ab936408a8463207b" localSheetId="2" hidden="1">Model!$AR$7</definedName>
    <definedName name="CBCR_346bdf6f6d784c6c9c5ce7ca75e98840" localSheetId="2" hidden="1">"CP - " &amp; Model!$C$16</definedName>
    <definedName name="CBCR_34da9778db2042658e88a966f0dda035" localSheetId="2" hidden="1">Model!$AO$8</definedName>
    <definedName name="CBCR_354ecbfa92754cf98a1164a2b311af89" localSheetId="2" hidden="1">Model!$W$18</definedName>
    <definedName name="CBCR_3571b37687fc48eca317e721a30bf205" localSheetId="2" hidden="1">Model!$AB$16</definedName>
    <definedName name="CBCR_35f2f303fcc94ab5bf7a72a99941b29e" localSheetId="2" hidden="1">Model!$AQ$12</definedName>
    <definedName name="CBCR_3655eb7168dd4b78a6fd6986b64cd15b" localSheetId="2" hidden="1">Model!$AS$16</definedName>
    <definedName name="CBCR_368876f5899a4616b168260f1ba08f72" localSheetId="2" hidden="1">"VA% - " &amp; Model!$C$21</definedName>
    <definedName name="CBCR_373cd936e24643c1b211990419e1930d" localSheetId="2" hidden="1">"Fixed Cost - " &amp; Model!$C$20</definedName>
    <definedName name="CBCR_3a70fbc158354017abbc9e92f32a25b3" localSheetId="2" hidden="1">"Vbl Costs - " &amp; Model!$C$8</definedName>
    <definedName name="CBCR_3c5af9358d5f44d3acd0091e8edcbf5e" localSheetId="2" hidden="1">Model!$AR$16</definedName>
    <definedName name="CBCR_3d37680db44a42f1839e3358245193f8" localSheetId="2" hidden="1">"Defect - "&amp; Model!$C$8</definedName>
    <definedName name="CBCR_3e044fd3f801422ab9685dedf252712e" localSheetId="2" hidden="1">"Fixed Cost - " &amp; Model!$C$15</definedName>
    <definedName name="CBCR_3ef56423c7dc4986a79e62fe45ed86e0" localSheetId="2" hidden="1">"CycleTime - " &amp; Model!$C$18</definedName>
    <definedName name="CBCR_3fdc7e18aa584d23b312e33b47c8448e" localSheetId="2" hidden="1">Model!$AI$16</definedName>
    <definedName name="CBCR_3ff27ff31d7a43a6afc713b77ac719cf" localSheetId="2" hidden="1">Model!$AJ$6</definedName>
    <definedName name="CBCR_401834ca73b243199551960ae80ee23e" localSheetId="2" hidden="1">"CP - " &amp; Model!$C$14</definedName>
    <definedName name="CBCR_408f62dcdaa4458990efedf266a9487a" localSheetId="2" hidden="1">Model!$X$18</definedName>
    <definedName name="CBCR_40cba35244fe44c8ad404d414738b5b1" localSheetId="2" hidden="1">Model!$AC$21</definedName>
    <definedName name="CBCR_4110d18ad4b94ff29a5f04c05a00bfd8" localSheetId="2" hidden="1">Model!$AO$13</definedName>
    <definedName name="CBCR_419b7bfc650440f19fa7bf1c75d3011c" localSheetId="2" hidden="1">"CycleTime - " &amp; Model!$C$7</definedName>
    <definedName name="CBCR_41a6a605f00345989401bfce1989f627" localSheetId="2" hidden="1">Model!$AI$14</definedName>
    <definedName name="CBCR_41e75b2f44cc4b148e7e2bbbd164c08d" localSheetId="2" hidden="1">Model!$AS$13</definedName>
    <definedName name="CBCR_436e51a575884d8697eb1ee5d4076f42" localSheetId="2" hidden="1">Model!$AA$17</definedName>
    <definedName name="CBCR_440cf67f61c54691b561adcfb1a420c2" localSheetId="2" hidden="1">Model!$X$7</definedName>
    <definedName name="CBCR_456e25221d474cf2aca3824a2b8b4ef9" localSheetId="2" hidden="1">"CP - " &amp; Model!$C$19</definedName>
    <definedName name="CBCR_4584656f8e5d46738757162ad1a205c5" localSheetId="2" hidden="1">"CP - " &amp; Model!$C$21</definedName>
    <definedName name="CBCR_459c3b0a11c54803b8e8503930a9ecf8" localSheetId="2" hidden="1">"Defect - "&amp; Model!$C$7</definedName>
    <definedName name="CBCR_460d73bb62804168b34a9a057fa1a34b" localSheetId="2" hidden="1">Model!$W$8</definedName>
    <definedName name="CBCR_46930762a8384f29b6dd6ee7d1dfac85" localSheetId="2" hidden="1">Model!$AB$20</definedName>
    <definedName name="CBCR_472259ed15d7450eb83e4fb18651b678" localSheetId="2" hidden="1">"CycleTime - " &amp; Model!$C$9</definedName>
    <definedName name="CBCR_472e8b75222c4aa8bf72087ed704331a" localSheetId="2" hidden="1">Model!$AO$17</definedName>
    <definedName name="CBCR_4758825149c0482195c6746745a34af9" localSheetId="2" hidden="1">Model!$AN$7</definedName>
    <definedName name="CBCR_47b47d8d0fa247699d083e7f5e596f22" localSheetId="2" hidden="1">Model!$AB$12</definedName>
    <definedName name="CBCR_485a073340514cbcb185c02cf61df8e1" localSheetId="2" hidden="1">"Fixed Cost - " &amp; Model!$C$19</definedName>
    <definedName name="CBCR_4885a1a9ef0a4b7a8fb02e7808c2a55c" localSheetId="2" hidden="1">Model!$AS$21</definedName>
    <definedName name="CBCR_48c2b7d0836b4e04ab5df18ff0c66b1c" localSheetId="2" hidden="1">Model!$AA$7</definedName>
    <definedName name="CBCR_49138c00a6cf4f0e80819bca541d06b3" localSheetId="2" hidden="1">"Fixed Cost - " &amp; Model!$C$16</definedName>
    <definedName name="CBCR_49feb34c79004d889a6faa9db872d1d5" localSheetId="2" hidden="1">Model!$V$9</definedName>
    <definedName name="CBCR_4b18b5d501f4480a8e334c1cae328b36" localSheetId="2" hidden="1">Model!$AC$14</definedName>
    <definedName name="CBCR_4bacfb9f043345a7a2fc762479a0bc88" localSheetId="2" hidden="1">Model!$W$19</definedName>
    <definedName name="CBCR_4c0aa3cbac3e4a9986f040a0ca1d4636" localSheetId="2" hidden="1">"Defect - "&amp; Model!$C$16</definedName>
    <definedName name="CBCR_4cbcebcc7beb4ccda3c724ac72d77c2c" localSheetId="2" hidden="1">Model!$X$6</definedName>
    <definedName name="CBCR_4cd3b7ebf06d4865b97a263506bd7073" localSheetId="2" hidden="1">"Defect % - " &amp; Model!$C$13</definedName>
    <definedName name="CBCR_4db6819f25804de78340513e191c42ed" localSheetId="2" hidden="1">Model!$AN$16</definedName>
    <definedName name="CBCR_4e352f86f9da4d91890a3cf9564b9c0a" localSheetId="2" hidden="1">Model!$X$16</definedName>
    <definedName name="CBCR_4f4acfc36ef241aeababa1ac4935f691" localSheetId="2" hidden="1">Model!$AO$22</definedName>
    <definedName name="CBCR_4f77cf4d9a1f4c488f3c583833682a11" localSheetId="2" hidden="1">Model!$X$20</definedName>
    <definedName name="CBCR_4f88015a002d4db5af9d25cc7c885a2c" localSheetId="2" hidden="1">"CP - " &amp; Model!$C$8</definedName>
    <definedName name="CBCR_4fc89717ae34482b9dd5ec46084c3cee" localSheetId="2" hidden="1">Model!$AH$16</definedName>
    <definedName name="CBCR_5002b3eaa5a9499eb79d4217f90c29cb" localSheetId="2" hidden="1">Model!$X$13</definedName>
    <definedName name="CBCR_50b92db263df4d22816a399a6d12d7d0" localSheetId="2" hidden="1">"Defect - "&amp; Model!$C$20</definedName>
    <definedName name="CBCR_50f6dda588a04e17ba7d3c8e799f0065" localSheetId="2" hidden="1">"Fixed Cost - " &amp; Model!$C$22</definedName>
    <definedName name="CBCR_510cce38d1e04050aae41cbc718e978f" localSheetId="2" hidden="1">Model!$AJ$12</definedName>
    <definedName name="CBCR_51669218bca34c09a50842373916b259" localSheetId="2" hidden="1">Model!$AI$13</definedName>
    <definedName name="CBCR_516b0aa82d384b3284b1e3ca745044c4" localSheetId="2" hidden="1">Model!$AG$11</definedName>
    <definedName name="CBCR_5186add8023f44c980e10519f2831b17" localSheetId="2" hidden="1">Model!$AG$18</definedName>
    <definedName name="CBCR_5255829e6cd343f9a5247b827aad0d72" localSheetId="2" hidden="1">Model!$AO$20</definedName>
    <definedName name="CBCR_52568ed1b0af41ba9a943217e6b621a0" localSheetId="2" hidden="1">Model!$V$7</definedName>
    <definedName name="CBCR_5284b99da8144d48bdd49e377f03d61a" localSheetId="2" hidden="1">Model!$AG$16</definedName>
    <definedName name="CBCR_5326ebc61a0c4eee85d8d4e532ad2a47" localSheetId="2" hidden="1">Model!$AR$17</definedName>
    <definedName name="CBCR_53f2dfc1eb31468b916c57ae3e56f1af" localSheetId="2" hidden="1">Model!$AI$12</definedName>
    <definedName name="CBCR_542c69423c804f5493c07c3070c72f23" localSheetId="2" hidden="1">Model!$AJ$16</definedName>
    <definedName name="CBCR_54d819e7d8f442e4b0f8e426837614b5" localSheetId="2" hidden="1">Model!$AB$7</definedName>
    <definedName name="CBCR_5643160a778e431b926288b0ff0fc2ff" localSheetId="2" hidden="1">"CycleTime - " &amp; Model!$C$16</definedName>
    <definedName name="CBCR_5708d36ad65a4e24838f455e573dca77" localSheetId="2" hidden="1">Model!$AN$8</definedName>
    <definedName name="CBCR_572e11dcef1b421ead121effc658342c" localSheetId="2" hidden="1">Model!$AS$12</definedName>
    <definedName name="CBCR_5a072f8a57454b27bbe3a73cfa3c0517" localSheetId="2" hidden="1">Model!$AO$15</definedName>
    <definedName name="CBCR_5aa018a799ac4434b8d5419d6d818391" localSheetId="2" hidden="1">Model!$AM$16</definedName>
    <definedName name="CBCR_5b02441cee924cf88102feea733ccb1d" localSheetId="2" hidden="1">Model!$AR$21</definedName>
    <definedName name="CBCR_5d4cb01ee1a14b1985d42abe567052e0" localSheetId="2" hidden="1">Model!$X$8</definedName>
    <definedName name="CBCR_5df56dbc1140490abb43603e8fc0b413" localSheetId="2" hidden="1">"VA% - " &amp; Model!$C$9</definedName>
    <definedName name="CBCR_5f12ebb6cda846bba87885ebdf47f93a" localSheetId="2" hidden="1">Model!$AM$13</definedName>
    <definedName name="CBCR_5faab62740bd47249cb1b68a6de2af06" localSheetId="2" hidden="1">Model!$AM$6</definedName>
    <definedName name="CBCR_601c77daf8874543b51dceb5fc0cffef" localSheetId="2" hidden="1">"CP - " &amp; Model!$C$20</definedName>
    <definedName name="CBCR_60932b7cceb04511aae22e376ef87ff4" localSheetId="2" hidden="1">Model!$W$20</definedName>
    <definedName name="CBCR_616a1043a58e4e2799021a2b2bf3005e" localSheetId="2" hidden="1">Model!$AH$15</definedName>
    <definedName name="CBCR_645695a48f1f46f8b445a82664fa2cb5" localSheetId="2" hidden="1">Model!$AS$20</definedName>
    <definedName name="CBCR_64ce5536289647508d3895da4eab3a12" localSheetId="2" hidden="1">"Vbl Costs - " &amp; Model!$C$22</definedName>
    <definedName name="CBCR_66f0a82636f84e008c91f37cababa9c6" localSheetId="2" hidden="1">Model!$AC$19</definedName>
    <definedName name="CBCR_676c223c025e46369a6e349ff16b86dc" localSheetId="2" hidden="1">"Fixed Cost - " &amp; Model!$C$6</definedName>
    <definedName name="CBCR_68230388402f4a318c3ef48ce0b43c34" localSheetId="2" hidden="1">Model!$AQ$22</definedName>
    <definedName name="CBCR_685cd656938f4456872fc7939f88c8fa" localSheetId="2" hidden="1">Model!$AM$7</definedName>
    <definedName name="CBCR_69d792397b184830b42b55849f975999" localSheetId="2" hidden="1">Model!$AC$13</definedName>
    <definedName name="CBCR_6a6fcac9d4a14cfd9542127669d14f39" localSheetId="2" hidden="1">"Fixed Cost - " &amp; Model!$C$13</definedName>
    <definedName name="CBCR_6b54390be2b0433c8e71f81e10d16cb7" localSheetId="2" hidden="1">Model!$AA$12</definedName>
    <definedName name="CBCR_6b8ecf4c9e5644f6862928be5c211223" localSheetId="2" hidden="1">Model!$AG$6</definedName>
    <definedName name="CBCR_6bec9778ad084eb2820990f9c5f911da" localSheetId="2" hidden="1">Model!$AJ$17</definedName>
    <definedName name="CBCR_6bf039eeb04b4af69fa69344e6dfc669" localSheetId="2" hidden="1">"Vbl Costs - " &amp; Model!$C$17</definedName>
    <definedName name="CBCR_6c88f777111749e5b72fb8c2fcf80f24" localSheetId="2" hidden="1">Model!$W$7</definedName>
    <definedName name="CBCR_6d3e0e444e4b4c87b9c0e39e2dd0fac6" localSheetId="2" hidden="1">"VA% - " &amp; Model!$C$16</definedName>
    <definedName name="CBCR_6d7e657141254abe8b6600bc2da1e0a7" localSheetId="2" hidden="1">"Defect - "&amp; Model!$C$22</definedName>
    <definedName name="CBCR_6e7745c16e27462081a1d5d42c9fe779" localSheetId="2" hidden="1">"Vbl Costs - " &amp; Model!$C$12</definedName>
    <definedName name="CBCR_6e94a668057145eb8c4989adc97d7b7b" localSheetId="2" hidden="1">Model!$AG$14</definedName>
    <definedName name="CBCR_6edef5584efe40ffb7d488a66ccbca37" localSheetId="2" hidden="1">Model!$AG$8</definedName>
    <definedName name="CBCR_6f00b3a6c4db4de8bad174b93c4cbbff" localSheetId="2" hidden="1">Model!$V$8</definedName>
    <definedName name="CBCR_6f2473f065d44241a14814542748ad3c" localSheetId="2" hidden="1">Model!$AG$13</definedName>
    <definedName name="CBCR_730d82b2724a4049bc00a4dbeb7a18b8" localSheetId="2" hidden="1">Model!$W$12</definedName>
    <definedName name="CBCR_7361e6dd56f441d18d6c2d5f774ee02e" localSheetId="2" hidden="1">Model!$AJ$10</definedName>
    <definedName name="CBCR_73a2f08d29a34e85a57e3ed2a8e68171" localSheetId="2" hidden="1">"CP - " &amp; Model!$C$10</definedName>
    <definedName name="CBCR_744efe6780134359941e8cea45e71ab8" localSheetId="2" hidden="1">Model!$AS$18</definedName>
    <definedName name="CBCR_747fd224d4b04e8a8e664afb54be0c29" localSheetId="2" hidden="1">Model!$AJ$9</definedName>
    <definedName name="CBCR_75d157dd4d1e4f8caf8e1d5969287c64" localSheetId="2" hidden="1">Model!$AQ$17</definedName>
    <definedName name="CBCR_760ca4b6e65c472ab32c35a8e76accf2" localSheetId="2" hidden="1">Model!$V$13</definedName>
    <definedName name="CBCR_76e84d04e8484c18bd0a22b98fabcae1" localSheetId="2" hidden="1">Model!$AH$19</definedName>
    <definedName name="CBCR_77aaa85f422541edaa3ec5b4cde5502a" localSheetId="2" hidden="1">Model!$V$15</definedName>
    <definedName name="CBCR_787bd2118df44eb4b39865cc611b5fc7" localSheetId="2" hidden="1">"Vbl Costs - " &amp; Model!$C$14</definedName>
    <definedName name="CBCR_78b903aec0264a1484516062665d5804" localSheetId="2" hidden="1">Model!$AA$18</definedName>
    <definedName name="CBCR_79a9150d166347cc81444d55d4879063" localSheetId="2" hidden="1">"VA% - " &amp; Model!$C$18</definedName>
    <definedName name="CBCR_7a3028169fdf49b7bd6156c4c1ffd1c2" localSheetId="2" hidden="1">Model!$W$11</definedName>
    <definedName name="CBCR_7b27e171204140a3bd3c20d7f1dbec5b" localSheetId="2" hidden="1">"Defect - "&amp; Model!$C$6</definedName>
    <definedName name="CBCR_7b88e402af3c4c89af0be1e2797d3ad4" localSheetId="2" hidden="1">Model!$AJ$18</definedName>
    <definedName name="CBCR_7badb9ceafab4713aa9c354bfcf90388" localSheetId="2" hidden="1">Model!$AJ$21</definedName>
    <definedName name="CBCR_7cabfe1e20c84d3fbc714fb60635f4af" localSheetId="2" hidden="1">"Defect - "&amp; Model!$C$17</definedName>
    <definedName name="CBCR_7cb1b532cd524552abff7be71275ae77" localSheetId="2" hidden="1">Model!$AN$22</definedName>
    <definedName name="CBCR_7db45bffe1754ba8a1084a6cc1de1e07" localSheetId="2" hidden="1">Model!$AR$15</definedName>
    <definedName name="CBCR_7de1c9e43c344019a8332d94fd4cf4f6" localSheetId="2" hidden="1">Model!$AC$16</definedName>
    <definedName name="CBCR_7de2cda7536840ceab27c6fe7bf34ca3" localSheetId="2" hidden="1">Model!$V$20</definedName>
    <definedName name="CBCR_7dea3e610a7148cf8985aafe2b65d7cc" localSheetId="2" hidden="1">Model!$AJ$11</definedName>
    <definedName name="CBCR_7e6020d594b5464d9080d696d5a08b16" localSheetId="2" hidden="1">"CP - " &amp; Model!$C$6</definedName>
    <definedName name="CBCR_7e60382db1934682ab01999128367f24" localSheetId="2" hidden="1">"Defect - "&amp; Model!$C$18</definedName>
    <definedName name="CBCR_83a37a86c8884905ba7d251c78ddf52f" localSheetId="2" hidden="1">Model!$AA$10</definedName>
    <definedName name="CBCR_83cc598c419e4c45bc1cec62c9617757" localSheetId="2" hidden="1">"Vbl Costs - " &amp; Model!$C$20</definedName>
    <definedName name="CBCR_84eb2ae2ba2f4b6886c982fccbddcdbd" localSheetId="2" hidden="1">"CP - " &amp; Model!$C$22</definedName>
    <definedName name="CBCR_85b88530b5fd433b90e1f1a06e1b0429" localSheetId="2" hidden="1">Model!$AS$22</definedName>
    <definedName name="CBCR_86d217d8a95441c6838ce617362243dd" localSheetId="2" hidden="1">Model!$AN$19</definedName>
    <definedName name="CBCR_874dc5968ca440fdaa5a9ad581d0694f" localSheetId="2" hidden="1">Model!$AC$6</definedName>
    <definedName name="CBCR_876244332e504574b57ae111547bf69c" localSheetId="2" hidden="1">Model!$AC$11</definedName>
    <definedName name="CBCR_87ccbaac77e44205b282dd88f3037ecc" localSheetId="2" hidden="1">"Defect % - " &amp; Model!$C$6</definedName>
    <definedName name="CBCR_87d809f348464197a9481e0dfb601371" localSheetId="2" hidden="1">Model!$AH$7</definedName>
    <definedName name="CBCR_88807677a4cd4688b94793c34379e17f" localSheetId="2" hidden="1">"Vbl Costs - " &amp; Model!$C$18</definedName>
    <definedName name="CBCR_89ae0180565b4680a090eadd0237db02" localSheetId="2" hidden="1">Model!$AM$22</definedName>
    <definedName name="CBCR_8a0e002856054916a4baa97a37be54b2" localSheetId="2" hidden="1">"CycleTime - " &amp; Model!$C$17</definedName>
    <definedName name="CBCR_8a13b609fff14beebe0cabf5621023f4" localSheetId="2" hidden="1">Model!$AM$9</definedName>
    <definedName name="CBCR_8a60d94c13da4a898ef70a3f2fe33c58" localSheetId="2" hidden="1">Model!$AH$12</definedName>
    <definedName name="CBCR_8b7c0ab335174e0faa8860b59c99ea27" localSheetId="2" hidden="1">"Fixed Cost - " &amp; Model!$C$11</definedName>
    <definedName name="CBCR_8ceb241f60e34300a6a6e1a29a4a9f32" localSheetId="2" hidden="1">"Defect % - " &amp; Model!$C$17</definedName>
    <definedName name="CBCR_8cfe32264fcb4cbb9b95ae48ae6a6ac7" localSheetId="2" hidden="1">Model!$AB$19</definedName>
    <definedName name="CBCR_8d24ad88671347078bf2e4ce509816e7" localSheetId="2" hidden="1">Model!$AJ$20</definedName>
    <definedName name="CBCR_8d787f9a222947d9b39d8fd8fe9d6a42" localSheetId="2" hidden="1">"CP - " &amp; Model!$C$17</definedName>
    <definedName name="CBCR_901ab0766e1b4ba9902e708044e621c2" localSheetId="2" hidden="1">Model!$AO$7</definedName>
    <definedName name="CBCR_9176e91009c742b682559366931a61c9" localSheetId="2" hidden="1">Model!$AM$8</definedName>
    <definedName name="CBCR_917aecf54324467ca5525e55c30e4e01" localSheetId="2" hidden="1">Model!$AB$8</definedName>
    <definedName name="CBCR_91d090ae3fde4c159b62f3ec3c508a5f" localSheetId="2" hidden="1">Model!$AG$21</definedName>
    <definedName name="CBCR_91ea1b22fb6d43f6963401e882fb638f" localSheetId="2" hidden="1">Model!$AO$16</definedName>
    <definedName name="CBCR_931864a3ccf94a8c93e31c2c517b1444" localSheetId="2" hidden="1">"CP - " &amp; Model!$C$11</definedName>
    <definedName name="CBCR_93eb7c6e23f64b419572aa2510c6cf66" localSheetId="2" hidden="1">Model!$AS$9</definedName>
    <definedName name="CBCR_947361de677449799d2ece38952349b3" localSheetId="2" hidden="1">Model!$AR$18</definedName>
    <definedName name="CBCR_9495201aa9254ad28985b12bda3393bb" localSheetId="2" hidden="1">Model!$W$9</definedName>
    <definedName name="CBCR_94d0fe90872049c38f1489732707261c" localSheetId="2" hidden="1">Model!$AH$9</definedName>
    <definedName name="CBCR_94e6d700890b45699a23207636d0dfdb" localSheetId="2" hidden="1">Model!$AO$6</definedName>
    <definedName name="CBCR_9516f58045db4e54aecd69940fd510cd" localSheetId="2" hidden="1">"VA% - " &amp; Model!$C$20</definedName>
    <definedName name="CBCR_9599a65410044d6884f5586815c2160b" localSheetId="2" hidden="1">Model!$AR$13</definedName>
    <definedName name="CBCR_968112c9db04457caa22a91bf0512679" localSheetId="2" hidden="1">Model!$AA$9</definedName>
    <definedName name="CBCR_97f2454961c4491c8a9adbf24096d29e" localSheetId="2" hidden="1">Model!$AO$18</definedName>
    <definedName name="CBCR_9973da733db04ea681cf844740648797" localSheetId="2" hidden="1">Model!$AC$7</definedName>
    <definedName name="CBCR_9977a953739949c9b2205fe4797db3eb" localSheetId="2" hidden="1">Model!$AH$10</definedName>
    <definedName name="CBCR_9a7ac2b9e7ca4f5ca800bc612c70a256" localSheetId="2" hidden="1">Model!$AS$11</definedName>
    <definedName name="CBCR_9b906b722d47446fa359d83c863f0c7e" localSheetId="2" hidden="1">"Defect % - " &amp; Model!$C$11</definedName>
    <definedName name="CBCR_9ba26e49b9ec481fbfcef906a579be56" localSheetId="2" hidden="1">Model!$AB$18</definedName>
    <definedName name="CBCR_9c827d236b9248d1b5251e451d13e66e" localSheetId="2" hidden="1">"Defect - "&amp; Model!$C$9</definedName>
    <definedName name="CBCR_9cc132eb5e4a46f783adb275cc0c3d2a" localSheetId="2" hidden="1">Model!$AA$14</definedName>
    <definedName name="CBCR_9cc99e8c9e9c452586f8db5e18d411c9" localSheetId="2" hidden="1">Model!$AG$10</definedName>
    <definedName name="CBCR_9cfc184a77424121a09407f58126637d" localSheetId="2" hidden="1">"Defect % - " &amp; Model!$C$7</definedName>
    <definedName name="CBCR_9cfe40fe85a4469c867ff787dd598265" localSheetId="2" hidden="1">Model!$V$17</definedName>
    <definedName name="CBCR_9de998194ce54884806f255a74c5de5c" localSheetId="2" hidden="1">"Defect % - " &amp; Model!$C$8</definedName>
    <definedName name="CBCR_9fe533f9f8fa4fa79ee8bb5f67f5c9ec" localSheetId="2" hidden="1">Model!$AI$17</definedName>
    <definedName name="CBCR_a1062627bfe94b6c90909bc83a4912c5" localSheetId="2" hidden="1">"CP - " &amp; Model!$C$18</definedName>
    <definedName name="CBCR_a29726a4c0174150812e63cb21c89c79" localSheetId="2" hidden="1">Model!$W$15</definedName>
    <definedName name="CBCR_a2a512a9507746f59e9fe460061ce9a5" localSheetId="2" hidden="1">"Defect - "&amp; Model!$C$19</definedName>
    <definedName name="CBCR_a34ba1eaf6c64277adf8c16733d0e1c4" localSheetId="2" hidden="1">"VA% - " &amp; Model!$C$13</definedName>
    <definedName name="CBCR_a35b2483f8004088b62daff3acd5d2fc" localSheetId="2" hidden="1">Model!$AO$14</definedName>
    <definedName name="CBCR_a3b1dd508495438783b6475168219764" localSheetId="2" hidden="1">Model!$W$22</definedName>
    <definedName name="CBCR_a5517c51b1944ca2b371588420028efe" localSheetId="2" hidden="1">Model!$V$6</definedName>
    <definedName name="CBCR_a73ec833eed1471b9c02cf0e8e98a0d2" localSheetId="2" hidden="1">Model!$AI$9</definedName>
    <definedName name="CBCR_a7c3c6f3a9c94e24a1b527c0aea57b2b" localSheetId="2" hidden="1">Model!$AO$9</definedName>
    <definedName name="CBCR_a7eb61de8eab4f6fbd7f47870538284b" localSheetId="2" hidden="1">Model!$AI$21</definedName>
    <definedName name="CBCR_a8eaf49f787f4370b330bb934db6e18c" localSheetId="2" hidden="1">"CycleTime - " &amp; Model!$C$22</definedName>
    <definedName name="CBCR_a93674315bb74573bdce3ce7269d2d09" localSheetId="2" hidden="1">"Defect - "&amp; Model!$C$10</definedName>
    <definedName name="CBCR_a97b9ec2e76544efa5c2b5db9aa1bd6f" localSheetId="2" hidden="1">Model!$AJ$14</definedName>
    <definedName name="CBCR_a99941fa2d0a4956bd88174505ae43d5" localSheetId="2" hidden="1">"VA% - " &amp; Model!$C$19</definedName>
    <definedName name="CBCR_ab0210939f18469c855e437e8f4e0512" localSheetId="2" hidden="1">Model!$AJ$13</definedName>
    <definedName name="CBCR_abc6d87fdfbd4429b851d8504fddaff8" localSheetId="2" hidden="1">Model!$AH$13</definedName>
    <definedName name="CBCR_ac205c882b344ad880ebefbb19bb0ef5" localSheetId="2" hidden="1">Model!$X$12</definedName>
    <definedName name="CBCR_ac9edf187617457ca0aedac114bc7bae" localSheetId="2" hidden="1">Model!$AB$10</definedName>
    <definedName name="CBCR_ae1be64204fe4eb99b89e3e257891473" localSheetId="2" hidden="1">Model!$AC$17</definedName>
    <definedName name="CBCR_ae573c223d8e4c539ed8d3294bca18f0" localSheetId="2" hidden="1">Model!$V$19</definedName>
    <definedName name="CBCR_ae6a4bc537114657a622f18a594757d1" localSheetId="2" hidden="1">"Fixed Cost - " &amp; Model!$C$7</definedName>
    <definedName name="CBCR_af1d9c4dae1941eaa5e109ffe9776b56" localSheetId="2" hidden="1">Model!$AH$14</definedName>
    <definedName name="CBCR_af9d42767799476bb26e54a0d94492f7" localSheetId="2" hidden="1">Model!$V$14</definedName>
    <definedName name="CBCR_b19ec1794cd942229ea156d320744a86" localSheetId="2" hidden="1">Model!$X$11</definedName>
    <definedName name="CBCR_b20b55a80edf4422becb0af3e63c2fe0" localSheetId="2" hidden="1">"CP - " &amp; Model!$C$12</definedName>
    <definedName name="CBCR_b2350da68a734a52a10746cab6c0a2c0" localSheetId="2" hidden="1">Model!$AA$11</definedName>
    <definedName name="CBCR_b285895fa6d74c62bb4ea4050abd2eef" localSheetId="2" hidden="1">Model!$AI$8</definedName>
    <definedName name="CBCR_b28d78acb8ee4ecc925eac7db7736df5" localSheetId="2" hidden="1">Model!$AG$9</definedName>
    <definedName name="CBCR_b3330cc64f67425fa18e8a24746e31f1" localSheetId="2" hidden="1">Model!$AA$13</definedName>
    <definedName name="CBCR_b3b69247a6ee44989a84ba3bd5b1f662" localSheetId="2" hidden="1">Model!$AQ$9</definedName>
    <definedName name="CBCR_b4f0e312271242c6a76027a6172278bf" localSheetId="2" hidden="1">Model!$AH$17</definedName>
    <definedName name="CBCR_b7f2a9df262f428bbb53f8abefe28a52" localSheetId="2" hidden="1">Model!$AM$17</definedName>
    <definedName name="CBCR_b806eadbfbdc4c4889a18dd3b84122c8" localSheetId="2" hidden="1">Model!$AI$11</definedName>
    <definedName name="CBCR_ba0b169e3e5642b3823ade35c1cc80c7" localSheetId="2" hidden="1">Model!$W$16</definedName>
    <definedName name="CBCR_ba3f6f98a0374c26b3a93533c7d52765" localSheetId="2" hidden="1">"CP - " &amp; Model!$C$13</definedName>
    <definedName name="CBCR_bbb4c861faa04822ac83a861dcc35470" localSheetId="2" hidden="1">"CP - " &amp; Model!$C$7</definedName>
    <definedName name="CBCR_bc7af82fd06b4ce7b116b7190270cf9a" localSheetId="2" hidden="1">Model!$AN$10</definedName>
    <definedName name="CBCR_bd8a669209144681b6256882113a0c2b" localSheetId="2" hidden="1">Model!$V$21</definedName>
    <definedName name="CBCR_bdaedefb328a4af6beaff6f8ea14bbac" localSheetId="2" hidden="1">Model!$AQ$13</definedName>
    <definedName name="CBCR_bddd726030634b838cc2266a6bd2f318" localSheetId="2" hidden="1">"Fixed Cost - " &amp; Model!$C$10</definedName>
    <definedName name="CBCR_be2526140a444a9d987b7a4a06df6f3b" localSheetId="2" hidden="1">Model!$AI$20</definedName>
    <definedName name="CBCR_bee1f9d162b649f0bf0ecdabcb5959ba" localSheetId="2" hidden="1">Model!$AN$11</definedName>
    <definedName name="CBCR_c086ce83f9dd47c987addd2ac32cbee2" localSheetId="2" hidden="1">"Fixed Cost - " &amp; Model!$C$8</definedName>
    <definedName name="CBCR_c0e5b3b9ad7d4474bf742829d25ace13" localSheetId="2" hidden="1">Model!$AR$22</definedName>
    <definedName name="CBCR_c1590c8b53464170aa366149917a9adc" localSheetId="2" hidden="1">Model!$W$13</definedName>
    <definedName name="CBCR_c198bee173764ff49086e9b06eac473d" localSheetId="2" hidden="1">"Fixed Cost - " &amp; Model!$C$21</definedName>
    <definedName name="CBCR_c2504cc1e716409f8f30855c5488bbea" localSheetId="2" hidden="1">Model!$AN$9</definedName>
    <definedName name="CBCR_c26883a2a82e4345946d339408a9c599" localSheetId="2" hidden="1">"Vbl Costs - " &amp; Model!$C$16</definedName>
    <definedName name="CBCR_c299155aa21b4a9ba426c24807b4cb3d" localSheetId="2" hidden="1">Model!$AC$12</definedName>
    <definedName name="CBCR_c30f8091c21a4bb29d1b936621e85a4f" localSheetId="2" hidden="1">"Fixed Cost - " &amp; Model!$C$12</definedName>
    <definedName name="CBCR_c32ceb26dfb64f209fa50c8a2629c79b" localSheetId="2" hidden="1">Model!$AN$17</definedName>
    <definedName name="CBCR_c3a9ab4e2c4d4f73a39b5bf9ce7d8cd6" localSheetId="2" hidden="1">Model!$AI$22</definedName>
    <definedName name="CBCR_c3f8a78c7f464b8c8d3f65f5d12f3dfe" localSheetId="2" hidden="1">"Defect - "&amp; Model!$C$13</definedName>
    <definedName name="CBCR_c4b9b09544c54aa38ba1cb16a2bbf33d" localSheetId="2" hidden="1">Model!$AH$21</definedName>
    <definedName name="CBCR_c56532683a42496b8035d49cad8f1a62" localSheetId="2" hidden="1">Model!$AS$19</definedName>
    <definedName name="CBCR_c65ec900f4794dfaaa20f9d33af2dbc3" localSheetId="2" hidden="1">Model!$AN$20</definedName>
    <definedName name="CBCR_c6817fc2374941ef911cdd5bc4d9602d" localSheetId="2" hidden="1">Model!$AQ$10</definedName>
    <definedName name="CBCR_c6dd946d9ccc434ab5717c832408e8f6" localSheetId="2" hidden="1">Model!$AH$8</definedName>
    <definedName name="CBCR_c7897e82f6e34c08872291529d8adb03" localSheetId="2" hidden="1">Model!$AH$11</definedName>
    <definedName name="CBCR_c806a83ba2db44a196d6f39470a1cac2" localSheetId="2" hidden="1">Model!$AG$22</definedName>
    <definedName name="CBCR_c931090809cb40b8a6b8b17d292ff3b2" localSheetId="2" hidden="1">Model!$AC$10</definedName>
    <definedName name="CBCR_c94498cb99db48fe866fdcafa27464fb" localSheetId="2" hidden="1">Model!$AG$12</definedName>
    <definedName name="CBCR_c9d2c3262130431cbe62536fb2296719" localSheetId="2" hidden="1">Model!$AI$19</definedName>
    <definedName name="CBCR_cb1af8d0d1244339a24628c9ccdf1f39" localSheetId="2" hidden="1">"Defect % - " &amp; Model!$C$19</definedName>
    <definedName name="CBCR_cc39d401712945af8ea73c5904123b37" localSheetId="2" hidden="1">"Defect % - " &amp; Model!$C$16</definedName>
    <definedName name="CBCR_cc77c6355a734b5cb0d6f2bd92fd559d" localSheetId="2" hidden="1">Model!$AN$6</definedName>
    <definedName name="CBCR_ce1e959e25bc426797b08cb59aec0e46" localSheetId="2" hidden="1">"VA% - " &amp; Model!$C$7</definedName>
    <definedName name="CBCR_cef3838c75c94049aebb5dfe3163d830" localSheetId="2" hidden="1">"Vbl Costs - " &amp; Model!$C$9</definedName>
    <definedName name="CBCR_d0190dcb62d542a195332d7af63149d5" localSheetId="2" hidden="1">Model!$AR$19</definedName>
    <definedName name="CBCR_d0779185ecda4c5e9c1f6badb079f247" localSheetId="2" hidden="1">Model!$V$22</definedName>
    <definedName name="CBCR_d0c98625ca3c4831b72493fd5d513ac9" localSheetId="2" hidden="1">Model!$AN$21</definedName>
    <definedName name="CBCR_d337ac1273c24f2eacaae1f020ac8f04" localSheetId="2" hidden="1">Model!$AR$12</definedName>
    <definedName name="CBCR_d42ded7cf8554bffbca55a94c11bf1b0" localSheetId="2" hidden="1">Model!$AG$7</definedName>
    <definedName name="CBCR_d55bd2a2ca804a0a8b76e43f3c00d407" localSheetId="2" hidden="1">Model!$AQ$11</definedName>
    <definedName name="CBCR_d603cb52af6c45e997c1e6d3935c6a7c" localSheetId="2" hidden="1">Model!$AJ$22</definedName>
    <definedName name="CBCR_d64b0b91d190444fbdf70d26fc0b0f47" localSheetId="2" hidden="1">Model!$AC$22</definedName>
    <definedName name="CBCR_d70157ea039b443984a4cca004afb4cb" localSheetId="2" hidden="1">Model!$AQ$20</definedName>
    <definedName name="CBCR_d72d0a0b3e8e4b648f7c035e02069dc1" localSheetId="2" hidden="1">Model!$V$11</definedName>
    <definedName name="CBCR_d74b37beaaea4fea9f7dd1d307525be4" localSheetId="2" hidden="1">"Vbl Costs - " &amp; Model!$C$10</definedName>
    <definedName name="CBCR_d8b8c163d4e74671bf0984f5fa455073" localSheetId="2" hidden="1">"CycleTime - " &amp; Model!$C$19</definedName>
    <definedName name="CBCR_d8c0d3bc617749da9e6a67e877fb2369" localSheetId="2" hidden="1">Model!$X$14</definedName>
    <definedName name="CBCR_d9037b1555534e9097a03b1f01169781" localSheetId="2" hidden="1">Model!$AJ$15</definedName>
    <definedName name="CBCR_d9f818b1747e46b7bda404258e2cb52d" localSheetId="2" hidden="1">Model!$AR$14</definedName>
    <definedName name="CBCR_da75165cdc2041b1a9b8599e9c090d2a" localSheetId="2" hidden="1">Model!$AQ$14</definedName>
    <definedName name="CBCR_db6b335f557e419ab4dc887241d7b425" localSheetId="2" hidden="1">Model!$AA$20</definedName>
    <definedName name="CBCR_db81296ff8ac4039b35fd73d82d2a98c" localSheetId="2" hidden="1">"VA% - " &amp; Model!$C$8</definedName>
    <definedName name="CBCR_dc6a2411a6404b2d92e327d7490d2333" localSheetId="2" hidden="1">Model!$X$15</definedName>
    <definedName name="CBCR_dd36f6eb003d44aa9682ed16163cc9fa" localSheetId="2" hidden="1">Model!$AO$12</definedName>
    <definedName name="CBCR_dd67d6553b624108842d7c7d05e0215d" localSheetId="2" hidden="1">Model!$AR$9</definedName>
    <definedName name="CBCR_ddcd6e652e8d4648b477200e0336bb0e" localSheetId="2" hidden="1">Model!$AS$14</definedName>
    <definedName name="CBCR_e007d80957184dea9aba37c7e006b2d3" localSheetId="2" hidden="1">"CP - " &amp; Model!$C$15</definedName>
    <definedName name="CBCR_e05fbdb1fa44469b84240d0f1a8db4c3" localSheetId="2" hidden="1">Model!$AH$18</definedName>
    <definedName name="CBCR_e12e7ab1fd964298ab1a92327168d09b" localSheetId="2" hidden="1">Model!$X$22</definedName>
    <definedName name="CBCR_e1498b7ed97048dbaacdaeb30cb7d462" localSheetId="2" hidden="1">"CycleTime - " &amp; Model!$C$6</definedName>
    <definedName name="CBCR_e18df3094af54e548d3390f17501bb12" localSheetId="2" hidden="1">"Defect % - " &amp; Model!$C$21</definedName>
    <definedName name="CBCR_e1d30e1da86947629c5e0571c1cf94ae" localSheetId="2" hidden="1">Model!$AN$18</definedName>
    <definedName name="CBCR_e1de6c24500a4f44943634e8e1cb1f33" localSheetId="2" hidden="1">Model!$AJ$19</definedName>
    <definedName name="CBCR_e21c1d730a7a4acc86568d2cf4ac7341" localSheetId="2" hidden="1">"Defect - "&amp; Model!$C$12</definedName>
    <definedName name="CBCR_e33d7e9afeb44f6db045b5b99d048175" localSheetId="2" hidden="1">Model!$W$14</definedName>
    <definedName name="CBCR_e340d666e04e473eb19ad08cda8eca24" localSheetId="2" hidden="1">"Defect % - " &amp; Model!$C$12</definedName>
    <definedName name="CBCR_e37c07295cc04c54b5de03afdd5d7bd6" localSheetId="2" hidden="1">Model!$AH$6</definedName>
    <definedName name="CBCR_e39e2e751787452c8f2d25163253803e" localSheetId="2" hidden="1">Model!$AO$21</definedName>
    <definedName name="CBCR_e3df1051dc37418b972cb78a78689419" localSheetId="2" hidden="1">"Vbl Costs - " &amp; Model!$C$11</definedName>
    <definedName name="CBCR_e4f35f2b949a430aa6297189ee5ae414" localSheetId="2" hidden="1">Model!$AC$8</definedName>
    <definedName name="CBCR_e54d212a5a4840e7b2d0579b1e457765" localSheetId="2" hidden="1">Model!$W$6</definedName>
    <definedName name="CBCR_e573970931f04d4ca91aee639ea881b4" localSheetId="2" hidden="1">"CycleTime - " &amp; Model!$C$20</definedName>
    <definedName name="CBCR_e59d61f2454a4cfca4fd8b8c562837d1" localSheetId="2" hidden="1">Model!$AS$6</definedName>
    <definedName name="CBCR_e756b433c7d74a4c8093b79110e5dce5" localSheetId="2" hidden="1">Model!$AS$8</definedName>
    <definedName name="CBCR_e791d732b3b649f1bfb4fe1db92f11d7" localSheetId="2" hidden="1">Model!$V$18</definedName>
    <definedName name="CBCR_e7be491c606c44fbae387b2d9a302efa" localSheetId="2" hidden="1">"Defect % - " &amp; Model!$C$22</definedName>
    <definedName name="CBCR_e94e1bdf08e8490eaf460b7bf77a00d7" localSheetId="2" hidden="1">"Vbl Costs - " &amp; Model!$C$6</definedName>
    <definedName name="CBCR_e9949b3707e949b4acb0e5197ef76a47" localSheetId="2" hidden="1">Model!$AJ$8</definedName>
    <definedName name="CBCR_eb010562a8314af9b58f7ff014a98bb4" localSheetId="2" hidden="1">"Defect % - " &amp; Model!$C$9</definedName>
    <definedName name="CBCR_eb0bc7e8ecf14379a78a8e18d208dc6b" localSheetId="2" hidden="1">Model!$AR$10</definedName>
    <definedName name="CBCR_eb30a49ff2644a11a3ec33d57691f1e2" localSheetId="2" hidden="1">"CycleTime - " &amp; Model!$C$14</definedName>
    <definedName name="CBCR_ed4b9692dc274564a9d5b47c8a8d6f41" localSheetId="2" hidden="1">"Vbl Costs - " &amp; Model!$C$21</definedName>
    <definedName name="CBCR_efe59829eaa4463a87c5045fa510edc8" localSheetId="2" hidden="1">Model!$AM$12</definedName>
    <definedName name="CBCR_f0522eb1f2514e64b017d9427012cca8" localSheetId="2" hidden="1">"Defect % - " &amp; Model!$C$10</definedName>
    <definedName name="CBCR_f091ecb41b004d0299ed0168a0f727a1" localSheetId="2" hidden="1">"Fixed Cost - " &amp; Model!$C$17</definedName>
    <definedName name="CBCR_f0b202a8ea064c00aadb85ee2dfdd520" localSheetId="2" hidden="1">"VA% - " &amp; Model!$C$14</definedName>
    <definedName name="CBCR_f15d78a594034d14804b08714ba0b4a7" localSheetId="2" hidden="1">Model!$V$10</definedName>
    <definedName name="CBCR_f1fad140d74c42b3b3a1c8863174345a" localSheetId="2" hidden="1">"CP - " &amp; Model!$C$9</definedName>
    <definedName name="CBCR_f2e7e8dca0cf43b9baeafd31a6b7fd7a" localSheetId="2" hidden="1">"Defect - "&amp; Model!$C$15</definedName>
    <definedName name="CBCR_f42b2028a6a04b909970a0d0e7ac1475" localSheetId="2" hidden="1">"Vbl Costs - " &amp; Model!$C$13</definedName>
    <definedName name="CBCR_f4bd997b91eb4f06ba85286fdeeda693" localSheetId="2" hidden="1">"Defect % - " &amp; Model!$C$14</definedName>
    <definedName name="CBCR_f4f4010622984cec94f9ad44b2ac9324" localSheetId="2" hidden="1">Model!$AC$20</definedName>
    <definedName name="CBCR_f6c4b1625a674bfcb51a078dec83eddc" localSheetId="2" hidden="1">Model!$AR$6</definedName>
    <definedName name="CBCR_f737e0a81c074431b3306a52d7f476c2" localSheetId="2" hidden="1">"Fixed Cost - " &amp; Model!$C$9</definedName>
    <definedName name="CBCR_f745586d3d664a5a8a2bfcac546942d8" localSheetId="2" hidden="1">"Vbl Costs - " &amp; Model!$C$7</definedName>
    <definedName name="CBCR_f7762e5fefb7448eaa8739ff2613eddb" localSheetId="2" hidden="1">"Defect - "&amp; Model!$C$14</definedName>
    <definedName name="CBCR_f817fd6e6d0a4458bd1b5d8edbc96c41" localSheetId="2" hidden="1">"CycleTime - " &amp; Model!$C$21</definedName>
    <definedName name="CBCR_fa21cdc63c3247659207a17b113d6142" localSheetId="2" hidden="1">Model!$AR$11</definedName>
    <definedName name="CBCR_fa73f4fe7a15466baa6ea381860c6594" localSheetId="2" hidden="1">Model!$W$21</definedName>
    <definedName name="CBCR_fa9828afdb69430e8c19ab260abef2b5" localSheetId="2" hidden="1">Model!$AS$17</definedName>
    <definedName name="CBCR_fb6bdde23df74e1d847c7fc00c0fa356" localSheetId="2" hidden="1">Model!$AB$11</definedName>
    <definedName name="CBCR_fbff9cfced0f4d76a4aba465492854ad" localSheetId="2" hidden="1">"Defect % - " &amp; Model!$C$18</definedName>
    <definedName name="CBCR_feb6f1f62d4043f9b453c9af90d9ee18" localSheetId="2" hidden="1">Model!$AM$15</definedName>
    <definedName name="CBCR_ff186f6b53c745c5bfcd1b9016de9147" localSheetId="2" hidden="1">"CycleTime - " &amp; Model!$C$11</definedName>
    <definedName name="CBCR_ff1b596990f94791ae3db23fa57e8f95" localSheetId="2" hidden="1">Model!$AG$17</definedName>
    <definedName name="CBCR_ff62cac122d147459a73350560f77714" localSheetId="2" hidden="1">Model!$X$9</definedName>
    <definedName name="CBWorkbookPriority" localSheetId="0" hidden="1">-690961204</definedName>
    <definedName name="CBWorkbookPriority" localSheetId="1" hidden="1">-587026267</definedName>
    <definedName name="CBx_56efc9e644fd46c3b946252b58bf3469" localSheetId="0" hidden="1">"'Model'!$A$1"</definedName>
    <definedName name="CBx_73e1460edff0471db5f0309d9faeeb8e" localSheetId="0" hidden="1">"'CB_DATA_'!$A$1"</definedName>
    <definedName name="CBx_8586951bcb4e4d289502d7dbb076dd6e" localSheetId="0" hidden="1">"'Tables'!$A$1"</definedName>
    <definedName name="CBx_Sheet_Guid" localSheetId="0" hidden="1">"'73e1460e-dff0-471d-b5f0-309d9faeeb8e"</definedName>
    <definedName name="CBx_Sheet_Guid" localSheetId="2" hidden="1">"'56efc9e6-44fd-46c3-b946-252b58bf3469"</definedName>
    <definedName name="CBx_Sheet_Guid" localSheetId="3" hidden="1">"'8586951bcb4e4d289502d7dbb076dd6e"</definedName>
    <definedName name="CBx_SheetRef" localSheetId="0" hidden="1">CB_DATA_!$A$14</definedName>
    <definedName name="CBx_SheetRef" localSheetId="2" hidden="1">CB_DATA_!$B$14</definedName>
    <definedName name="CBx_StorageType" localSheetId="0" hidden="1">2</definedName>
    <definedName name="CBx_StorageType" localSheetId="2" hidden="1">2</definedName>
    <definedName name="CostFixed">Model!$AP$6:$AP$22</definedName>
    <definedName name="CostVariable">Model!$AT$6:$AT$22</definedName>
    <definedName name="CPLocn">'Other Tables'!$K$6</definedName>
    <definedName name="CumCycleTime">Model!$Z$6:$Z$22</definedName>
    <definedName name="CumDefects">Model!$AL$6:$AL$22</definedName>
    <definedName name="CumVATime">Model!$AF$6:$AF$22</definedName>
    <definedName name="Defects">Model!$AK$6:$AK$22</definedName>
    <definedName name="Iteration">'Other Tables'!$K$3</definedName>
    <definedName name="ProcessCP">Model!$M$6:$M$22</definedName>
    <definedName name="ProcessDesc">Model!$C$6:$C$22</definedName>
    <definedName name="ProcessID">Model!$B$6:$B$22</definedName>
    <definedName name="RefID">Model!#REF!</definedName>
    <definedName name="Severity">Model!$R$6:$R$22</definedName>
    <definedName name="SimCycleTime">Model!$Y$6:$Y$22</definedName>
    <definedName name="SimVATime">Model!$AE$6:$AE$22</definedName>
    <definedName name="TBLCriticalPath" localSheetId="3" hidden="1">'Other Tables'!$C$4:$D$6</definedName>
    <definedName name="TBLCriticalPath">'Other Tables'!$C$4:$D$6</definedName>
    <definedName name="TBLProcess" localSheetId="3" hidden="1">'Other Tables'!$C$18:$D$20</definedName>
    <definedName name="TBLProcess">'Other Tables'!$C$18:$D$20</definedName>
    <definedName name="TBLSeverity" localSheetId="3" hidden="1">'Other Tables'!$C$25:$D$32</definedName>
    <definedName name="TBLSeverity">'Other Tables'!$C$25:$D$32</definedName>
    <definedName name="TBLSigma" localSheetId="3" hidden="1">'Other Tables'!$C$11:$D$13</definedName>
    <definedName name="TBLSigma">'Other Tables'!$C$11:$D$13</definedName>
    <definedName name="TotalCycleTime">Model!$Z$23</definedName>
    <definedName name="TotalDefects">Model!$AL$23</definedName>
    <definedName name="TotalVATime">Model!$AF$23</definedName>
    <definedName name="USL">#REF!</definedName>
    <definedName name="ValueAddPct">Model!$AD$6:$AD$22</definedName>
  </definedNames>
  <calcPr calcId="145621" iterate="1" iterateCount="10" concurrentCalc="0" concurrentManualCount="1"/>
</workbook>
</file>

<file path=xl/calcChain.xml><?xml version="1.0" encoding="utf-8"?>
<calcChain xmlns="http://schemas.openxmlformats.org/spreadsheetml/2006/main">
  <c r="B11" i="6" l="1"/>
  <c r="A11" i="6"/>
  <c r="E4" i="5"/>
  <c r="E5" i="5"/>
  <c r="E6" i="5"/>
  <c r="K6" i="5"/>
  <c r="E11" i="5"/>
  <c r="E12" i="5"/>
  <c r="E13" i="5"/>
  <c r="P6" i="4"/>
  <c r="Q6" i="4"/>
  <c r="P7" i="4"/>
  <c r="Q7" i="4"/>
  <c r="P8" i="4"/>
  <c r="Q8" i="4"/>
  <c r="P9" i="4"/>
  <c r="Q9" i="4"/>
  <c r="P10" i="4"/>
  <c r="Q10" i="4"/>
  <c r="P11" i="4"/>
  <c r="Q11" i="4"/>
  <c r="P12" i="4"/>
  <c r="Q12" i="4"/>
  <c r="P13" i="4"/>
  <c r="Q13" i="4"/>
  <c r="P14" i="4"/>
  <c r="Q14" i="4"/>
  <c r="P15" i="4"/>
  <c r="Q15" i="4"/>
  <c r="P16" i="4"/>
  <c r="Q16" i="4"/>
  <c r="P17" i="4"/>
  <c r="Q17" i="4"/>
  <c r="P18" i="4"/>
  <c r="Q18" i="4"/>
  <c r="P19" i="4"/>
  <c r="Q19" i="4"/>
  <c r="P20" i="4"/>
  <c r="Q20" i="4"/>
  <c r="P21" i="4"/>
  <c r="Q21" i="4"/>
  <c r="P22" i="4"/>
  <c r="Q22" i="4"/>
  <c r="AL23" i="4"/>
  <c r="P23" i="4"/>
  <c r="Z23" i="4"/>
  <c r="AF23" i="4"/>
  <c r="E27" i="4"/>
  <c r="B29" i="4"/>
  <c r="H29" i="4"/>
  <c r="K29" i="4"/>
  <c r="N29" i="4"/>
  <c r="Q29" i="4"/>
  <c r="E31" i="4"/>
  <c r="N32" i="4"/>
  <c r="E35" i="4"/>
  <c r="K35" i="4"/>
  <c r="N35" i="4"/>
  <c r="B37" i="4"/>
  <c r="H38" i="4"/>
  <c r="N38" i="4"/>
  <c r="E39" i="4"/>
  <c r="H41" i="4"/>
  <c r="K41" i="4"/>
  <c r="R9" i="4"/>
  <c r="R6" i="4"/>
  <c r="R7" i="4"/>
  <c r="R10" i="4"/>
  <c r="R21" i="4"/>
  <c r="R17" i="4"/>
  <c r="R13" i="4"/>
  <c r="R11" i="4"/>
  <c r="R18" i="4"/>
  <c r="R14" i="4"/>
  <c r="R19" i="4"/>
  <c r="R22" i="4"/>
  <c r="R15" i="4"/>
  <c r="R20" i="4"/>
  <c r="R12" i="4"/>
  <c r="Q23" i="4"/>
  <c r="R16" i="4"/>
  <c r="R8" i="4"/>
  <c r="AE12" i="4"/>
  <c r="AE8" i="4"/>
  <c r="AE22" i="4"/>
  <c r="AE10" i="4"/>
  <c r="AE16" i="4"/>
  <c r="AE20" i="4"/>
  <c r="AE17" i="4"/>
  <c r="AE14" i="4"/>
  <c r="AE6" i="4"/>
  <c r="AE19" i="4"/>
  <c r="AE15" i="4"/>
  <c r="AE7" i="4"/>
  <c r="AE18" i="4"/>
  <c r="AE11" i="4"/>
  <c r="AE21" i="4"/>
  <c r="AE9" i="4"/>
  <c r="AE13" i="4"/>
  <c r="G6" i="4"/>
  <c r="S6" i="4"/>
  <c r="G18" i="4"/>
  <c r="S18" i="4"/>
  <c r="G10" i="4"/>
  <c r="S10" i="4"/>
  <c r="G14" i="4"/>
  <c r="S14" i="4"/>
  <c r="G21" i="4"/>
  <c r="S21" i="4"/>
  <c r="G17" i="4"/>
  <c r="S17" i="4"/>
  <c r="G13" i="4"/>
  <c r="S13" i="4"/>
  <c r="G9" i="4"/>
  <c r="S9" i="4"/>
  <c r="G22" i="4"/>
  <c r="S22" i="4"/>
  <c r="G11" i="4"/>
  <c r="S11" i="4"/>
  <c r="S19" i="4"/>
  <c r="G19" i="4"/>
  <c r="S7" i="4"/>
  <c r="G7" i="4"/>
  <c r="S20" i="4"/>
  <c r="G20" i="4"/>
  <c r="G15" i="4"/>
  <c r="S15" i="4"/>
  <c r="S8" i="4"/>
  <c r="G8" i="4"/>
  <c r="S12" i="4"/>
  <c r="G12" i="4"/>
  <c r="S16" i="4"/>
  <c r="G16" i="4"/>
  <c r="S23" i="4"/>
  <c r="H6" i="4" a="1"/>
  <c r="H6" i="4"/>
  <c r="I6" i="4"/>
  <c r="J6" i="4"/>
  <c r="K6" i="4" a="1"/>
  <c r="K6" i="4"/>
  <c r="L6" i="4"/>
  <c r="M6" i="4"/>
  <c r="H7" i="4" a="1"/>
  <c r="H7" i="4"/>
  <c r="I7" i="4"/>
  <c r="J7" i="4"/>
  <c r="K7" i="4" a="1"/>
  <c r="K7" i="4"/>
  <c r="L7" i="4"/>
  <c r="M7" i="4"/>
  <c r="H8" i="4" a="1"/>
  <c r="H8" i="4"/>
  <c r="I8" i="4"/>
  <c r="J8" i="4"/>
  <c r="K8" i="4" a="1"/>
  <c r="K8" i="4"/>
  <c r="L8" i="4"/>
  <c r="M8" i="4"/>
  <c r="H9" i="4" a="1"/>
  <c r="H9" i="4"/>
  <c r="I9" i="4"/>
  <c r="J9" i="4"/>
  <c r="K9" i="4" a="1"/>
  <c r="K9" i="4"/>
  <c r="L9" i="4"/>
  <c r="M9" i="4"/>
  <c r="H10" i="4" a="1"/>
  <c r="H10" i="4"/>
  <c r="I10" i="4"/>
  <c r="J10" i="4"/>
  <c r="K10" i="4" a="1"/>
  <c r="K10" i="4"/>
  <c r="L10" i="4"/>
  <c r="M10" i="4"/>
  <c r="H11" i="4" a="1"/>
  <c r="H11" i="4"/>
  <c r="I11" i="4"/>
  <c r="J11" i="4"/>
  <c r="K11" i="4" a="1"/>
  <c r="K11" i="4"/>
  <c r="L11" i="4"/>
  <c r="M11" i="4"/>
  <c r="H12" i="4" a="1"/>
  <c r="H12" i="4"/>
  <c r="I12" i="4"/>
  <c r="J12" i="4"/>
  <c r="K12" i="4" a="1"/>
  <c r="K12" i="4"/>
  <c r="L12" i="4"/>
  <c r="M12" i="4"/>
  <c r="H13" i="4" a="1"/>
  <c r="H13" i="4"/>
  <c r="I13" i="4"/>
  <c r="J13" i="4"/>
  <c r="K13" i="4" a="1"/>
  <c r="K13" i="4"/>
  <c r="L13" i="4"/>
  <c r="M13" i="4"/>
  <c r="H14" i="4" a="1"/>
  <c r="H14" i="4"/>
  <c r="I14" i="4"/>
  <c r="J14" i="4"/>
  <c r="K14" i="4" a="1"/>
  <c r="K14" i="4"/>
  <c r="L14" i="4"/>
  <c r="M14" i="4"/>
  <c r="H15" i="4" a="1"/>
  <c r="H15" i="4"/>
  <c r="I15" i="4"/>
  <c r="J15" i="4"/>
  <c r="K15" i="4" a="1"/>
  <c r="K15" i="4"/>
  <c r="L15" i="4"/>
  <c r="M15" i="4"/>
  <c r="H16" i="4" a="1"/>
  <c r="H16" i="4"/>
  <c r="I16" i="4"/>
  <c r="J16" i="4"/>
  <c r="K16" i="4" a="1"/>
  <c r="K16" i="4"/>
  <c r="L16" i="4"/>
  <c r="M16" i="4"/>
  <c r="H17" i="4" a="1"/>
  <c r="H17" i="4"/>
  <c r="I17" i="4"/>
  <c r="J17" i="4"/>
  <c r="K17" i="4" a="1"/>
  <c r="K17" i="4"/>
  <c r="L17" i="4"/>
  <c r="M17" i="4"/>
  <c r="H18" i="4" a="1"/>
  <c r="H18" i="4"/>
  <c r="I18" i="4"/>
  <c r="J18" i="4"/>
  <c r="K18" i="4" a="1"/>
  <c r="K18" i="4"/>
  <c r="L18" i="4"/>
  <c r="M18" i="4"/>
  <c r="H19" i="4" a="1"/>
  <c r="H19" i="4"/>
  <c r="I19" i="4"/>
  <c r="J19" i="4"/>
  <c r="K19" i="4" a="1"/>
  <c r="K19" i="4"/>
  <c r="L19" i="4"/>
  <c r="M19" i="4"/>
  <c r="H20" i="4" a="1"/>
  <c r="H20" i="4"/>
  <c r="I20" i="4"/>
  <c r="J20" i="4"/>
  <c r="K20" i="4" a="1"/>
  <c r="K20" i="4"/>
  <c r="L20" i="4"/>
  <c r="M20" i="4"/>
  <c r="H21" i="4" a="1"/>
  <c r="H21" i="4"/>
  <c r="I21" i="4"/>
  <c r="J21" i="4"/>
  <c r="K21" i="4" a="1"/>
  <c r="K21" i="4"/>
  <c r="L21" i="4"/>
  <c r="M21" i="4"/>
  <c r="H22" i="4" a="1"/>
  <c r="H22" i="4"/>
  <c r="I22" i="4"/>
  <c r="J22" i="4"/>
  <c r="K22" i="4" a="1"/>
  <c r="K22" i="4"/>
  <c r="L22" i="4"/>
  <c r="M22" i="4"/>
  <c r="I23" i="4"/>
</calcChain>
</file>

<file path=xl/sharedStrings.xml><?xml version="1.0" encoding="utf-8"?>
<sst xmlns="http://schemas.openxmlformats.org/spreadsheetml/2006/main" count="289" uniqueCount="188">
  <si>
    <t>Pred</t>
  </si>
  <si>
    <t>Sigma</t>
  </si>
  <si>
    <t>Process</t>
  </si>
  <si>
    <t>ID</t>
  </si>
  <si>
    <t>Description</t>
  </si>
  <si>
    <t>Time</t>
  </si>
  <si>
    <t>EST</t>
  </si>
  <si>
    <t>EFT</t>
  </si>
  <si>
    <t>LST</t>
  </si>
  <si>
    <t>LFT</t>
  </si>
  <si>
    <t>Slack</t>
  </si>
  <si>
    <t>CP%</t>
  </si>
  <si>
    <t>Level</t>
  </si>
  <si>
    <t>Efficiency</t>
  </si>
  <si>
    <t>Severity</t>
  </si>
  <si>
    <t>Cost</t>
  </si>
  <si>
    <t>Cycle Time Variation</t>
  </si>
  <si>
    <t>Cycle</t>
  </si>
  <si>
    <t>Value Add Variation</t>
  </si>
  <si>
    <t>Value</t>
  </si>
  <si>
    <t>Quality Variation</t>
  </si>
  <si>
    <t>Defect</t>
  </si>
  <si>
    <t>Cum</t>
  </si>
  <si>
    <t>Fixed Cost</t>
  </si>
  <si>
    <t>Fixed</t>
  </si>
  <si>
    <t>Variable Cost</t>
  </si>
  <si>
    <t>Variable</t>
  </si>
  <si>
    <t>A</t>
  </si>
  <si>
    <t>Initiate Order</t>
  </si>
  <si>
    <t>Min</t>
  </si>
  <si>
    <t>Expected</t>
  </si>
  <si>
    <t>Max</t>
  </si>
  <si>
    <t>Percent</t>
  </si>
  <si>
    <t>Defect?</t>
  </si>
  <si>
    <t>Defects</t>
  </si>
  <si>
    <t>B</t>
  </si>
  <si>
    <t>Qualify Customer</t>
  </si>
  <si>
    <t>C</t>
  </si>
  <si>
    <t>Preliminary Design</t>
  </si>
  <si>
    <t>D</t>
  </si>
  <si>
    <t>Consultation &amp; Pricing</t>
  </si>
  <si>
    <t>E</t>
  </si>
  <si>
    <t>Customer Contract</t>
  </si>
  <si>
    <t>F</t>
  </si>
  <si>
    <t>Detailed Design</t>
  </si>
  <si>
    <t>G</t>
  </si>
  <si>
    <t>H</t>
  </si>
  <si>
    <t>Engine Procurement</t>
  </si>
  <si>
    <t>I</t>
  </si>
  <si>
    <t>Frame Procurement</t>
  </si>
  <si>
    <t>J</t>
  </si>
  <si>
    <t>Tube Bend/Drill</t>
  </si>
  <si>
    <t>K</t>
  </si>
  <si>
    <t>Flat Stock Cut/Drill</t>
  </si>
  <si>
    <t>L</t>
  </si>
  <si>
    <t>Welding</t>
  </si>
  <si>
    <t>M</t>
  </si>
  <si>
    <t>Frame Assembly</t>
  </si>
  <si>
    <t>N</t>
  </si>
  <si>
    <t>Stamping</t>
  </si>
  <si>
    <t>O</t>
  </si>
  <si>
    <t>Engine Assembly</t>
  </si>
  <si>
    <t>P</t>
  </si>
  <si>
    <t>Q</t>
  </si>
  <si>
    <t>Inspection &amp; Shipping</t>
  </si>
  <si>
    <t>Customer Invoicing</t>
  </si>
  <si>
    <t>Collections</t>
  </si>
  <si>
    <t>Total Cycle Time</t>
  </si>
  <si>
    <t>Value Added Time</t>
  </si>
  <si>
    <t>Total Defects</t>
  </si>
  <si>
    <t xml:space="preserve">Critical Path </t>
  </si>
  <si>
    <t>ACCEPTABLE</t>
  </si>
  <si>
    <t>WARNING</t>
  </si>
  <si>
    <t>PROBLEMATIC</t>
  </si>
  <si>
    <t>Sigma Capability</t>
  </si>
  <si>
    <t>Process Efficiency</t>
  </si>
  <si>
    <t>P/E</t>
  </si>
  <si>
    <t>Severity Mapping</t>
  </si>
  <si>
    <t xml:space="preserve"> </t>
  </si>
  <si>
    <t>CumCycle</t>
  </si>
  <si>
    <t>CumVA</t>
  </si>
  <si>
    <t>VA%</t>
  </si>
  <si>
    <t>VA</t>
  </si>
  <si>
    <t>CP</t>
  </si>
  <si>
    <t>B,C</t>
  </si>
  <si>
    <t>Iteration Number</t>
  </si>
  <si>
    <t>CP Offset</t>
  </si>
  <si>
    <t>L,M</t>
  </si>
  <si>
    <t>E,O</t>
  </si>
  <si>
    <t>Green</t>
  </si>
  <si>
    <t>Yellow</t>
  </si>
  <si>
    <t>Red</t>
  </si>
  <si>
    <t>I,K</t>
  </si>
  <si>
    <t>Value Stream Analysis Example</t>
  </si>
  <si>
    <t>LEGEND</t>
  </si>
  <si>
    <t>COLOR KEY</t>
  </si>
  <si>
    <t>Earliest time at which this activity may start.</t>
  </si>
  <si>
    <t>Earliest time at which this activity may finish.</t>
  </si>
  <si>
    <t>Latest time this activity can start without delaying the process.</t>
  </si>
  <si>
    <t>Latest time this activity can finish without delaying the process.</t>
  </si>
  <si>
    <t>Amount of time this activity can be delayed without delaying the process.</t>
  </si>
  <si>
    <t xml:space="preserve"> Critical path indicator (1=On Critical Path, 0=Off Critical Path)</t>
  </si>
  <si>
    <t>Probability of activity being on the Critical Path</t>
  </si>
  <si>
    <t xml:space="preserve">Six Sigma quality level of activity or process.  </t>
  </si>
  <si>
    <t>Computed severity metric based on quality, process efficiency and CP%.</t>
  </si>
  <si>
    <t>Ratio of valuing-adding time to total cycle time</t>
  </si>
  <si>
    <t>RED</t>
  </si>
  <si>
    <t>YELLOW</t>
  </si>
  <si>
    <t>GREEN</t>
  </si>
  <si>
    <t>Target Performance</t>
  </si>
  <si>
    <t xml:space="preserve">   CP%</t>
  </si>
  <si>
    <t xml:space="preserve">   Sigma Level</t>
  </si>
  <si>
    <t xml:space="preserve">   Process Efficiency</t>
  </si>
  <si>
    <t xml:space="preserve">   Severity</t>
  </si>
  <si>
    <t>Author</t>
  </si>
  <si>
    <t>Summary</t>
  </si>
  <si>
    <t>As businesses continually strive to evaluate and improve their critical processes, they increasingly employ techniques such as value stream mapping to guide their efforts and analysis. This order-to-cash example was developed to rapidly screen or "triage" a large number of process steps to focus on those most seriously in need of immediate improvement. This example combines concepts from Lean (value stream mapping and process efficiency), Six Sigma (quality), and Critical Path scheduling. The process model incorporates the stochastic measurement of cycle time (time), defect rate (quality), value-add time (process efficiency), and fixed/variable cost (cost).</t>
  </si>
  <si>
    <t>Discussion</t>
  </si>
  <si>
    <t>In this example, we are considering the order-to-cash value stream map for Positive Power, Inc., a manufacturer of portable electric generators for residential, recreation and small contractor markets. The company is an industry leader and has historically seen strong revenue growth. However, PPI has recently seen receding margins over the past several years as competition has intensified.</t>
  </si>
  <si>
    <t>A Lean Six Sigma project has been commissioned to investigate process improvement with the order-to-cash process for PPI sales of portable electrical generators. After defining the opportunity, a team was chartered to gather data through a value stream mapping process. Results from this process are summarized in the associated Model worksheet. We would now like to quickly examine the information to determine which of the process steps are most critical and need of immediate improvement --- a process triage to focus our improvement efforts.</t>
  </si>
  <si>
    <t>This model was developed to rapidly screen or "triage" process steps for those most seriously in need of improvement. The underlying principle of this model is that a process model can be constructed from value stream mapping data and that each trial of the simulation would represent one piece, part or customer flowing through the entire process. The final model describes a thirteen-step process with two pathways, one for manufacturing / assembly and the other for customer order / collections. The process always ends in collections.</t>
  </si>
  <si>
    <t>When the Lean Six Sigma team completed the Value Stream Mapping process, they entered the input on the Model worksheet. Process step identifiers, descriptions, and predecessor relationships were specified in columns B, C, and F, respectively. Process step measurement data (cycle time, value-add time, defect rate and costs) were specified in columns U thru AT.  Each of these process elements was specified stochastically as a triangular distribution based on the preceding three columns. This data represents the current, or "as-is," state of the order-to-cash process.</t>
  </si>
  <si>
    <t>For example, the triangular distribution describing variability of cycle time for each of the seventeen steps is specified in column V (minimum), column W (most likely) and column X (maximum). Therefore, in order to change the parameters of the distribution on cycle time for any step, one would only need modify the appropriate minimum, most likely-, or maximum value in columns V, W, and X. In this particular example, defects are resolved through reworking the current process step and incurring double costs.</t>
  </si>
  <si>
    <t>Additionally, the process model incorporates the relationship of each process step to other process steps (predecessor relationships) in order to determine the process critical path. This data is then analyzed to determine those processes that exhibit poor quality, poor process efficiency and high probability on critical path. Such processes would represent the high-priority candidates for immediate improvement action (e.g., Kaizen events). After a Voice of Customer (VOC) and Quality Function Deployment (QFD) effort, your team determined that the order-to-cash process target was 110 hours.</t>
  </si>
  <si>
    <t>Critical path computations are performed in columns H thru M. These computations utilize two advanced Microsoft Excel techniques: Array formulas for the calculation of Early Start Time (EST) and Late Finish Time (LFT) and deliberate usage of circular references to iteratively calculate any critical path components that may depend upon predecessor components specified later (below the item being processed) in the spreadsheet. Note that for this spreadsheet to work properly, the Iteration setting under Tools &gt; Options &gt; Calculation must be enabled.</t>
  </si>
  <si>
    <t>The Tables worksheet is used to control the dashboard effect on the Model tab. Threshold levels for probability on critical path, quality and process efficiency are established on the Tables worksheet and combined into a "Severity" metric, which is then transferred to the Model worksheet. It is this "Severity" metric that controls the dashboard conditional formatting in columns O through S.</t>
  </si>
  <si>
    <t>Visual Basic for Applications (VBA) code is utilized to initialize and accumulate cycle times, defects, and value-add time for the computation of sigma level and process efficiency for each process step. Additionally, VBA code also controls the highlighting of the critical path components on the process diagram. Go to Tools &gt; Macro &gt; Visual Basic Editor in Excel to view this code.</t>
  </si>
  <si>
    <t>Using Crystal Ball</t>
  </si>
  <si>
    <t xml:space="preserve">Crystal Ball enhances your Excel model by allowing you to create probability distributions (referred to in Crystal Ball as "assumptions") that describe uncertain parameters.  To view the details of an assumption, highlight the cell and either select Define Assumption from the Define menu or click on the Define Assumption button on the Crystal Ball toolbar. In this model, the cycle time, value-add percentage, defect percentage, fixed costs and variable costs for each process step are defined as assumptions. </t>
  </si>
  <si>
    <t>This model also includes several Crystal Ball forecasts. Forecasts are equations, or outputs, that you want to analyze after a simulation. During a simulation, Crystal Ball saves the values in the forecast cells and displays them in a Forecast Chart, which is a histogram of the simulated values. To create a forecast with Crystal Ball, highlight the cell and either select Define Forecast or the Define Forecast button on the Crystal Ball toolbar. In this model, Process Lead Time and Total Cost are defined as forecasts.</t>
  </si>
  <si>
    <t>When a forecast has specification limits or a target, you can enter these parameters or use a cell reference to point to them on a worksheet. If you do not see these parameters for the Process lead time forecast, you will first need to check Calculate Capability Metrics on the Run &gt; Run Preferences &gt; Statistics tab to view and use these parameters.</t>
  </si>
  <si>
    <t>When you run a simulation, Crystal Ball generates a random number for each assumption (based on how the assumption has been defined) and places that new value in the cell. Excel then recalculates the model. You can test this by selecting Single Step from the Run menu or clicking on the Single Step button on the toolbar. To run this model, set the number of simulation trials in the Run Preferences. This model cannot run in Extreme Speed mode (a Crystal Ball option). To speed up the simulation, you can minimize the workbook within Excel and minimize the Crystal Ball charts.</t>
  </si>
  <si>
    <t>This model uses the Precision Control feature, which is defined in the Define Forecast dialog and turned on in the Run Preferences. If you set the number of trials to a very large number (e.g., 100,000), Precision Control will run as many simulation trials as necessary until it achieves the desired level of precision (e.g., 95% confidence that the forecast is within +/- 1000 of the estimated mean). Precision Control ensures that you have run enough trials for accurate simulation results.</t>
  </si>
  <si>
    <t>The Model worksheet presents simulation results in dashboard style. You can use the Single Step button to run one random simulation trial at a time to see how the model changes. Key metrics (probability on critical path, quality, and process efficiency) are computed for each process step at the end of the simulation run in columns O through S. Process Lead Time is graphically represented relative to the upper and lower specification limits as well. The dashboard effect (red, yellow, green) is ruled by the severity level, which is generated through Excel conditional formatting and is controlled by user-set parameters in the Tables worksheet. Notice also that the process map changes with each simulation trial to indicate the critical path for that trial.</t>
  </si>
  <si>
    <t>After you run a simulation, you will see the forecast chart for Process Lead Time. What is the mean value and how does it compare with the original, pre-simulation base case? (Hint: use the Space bar to step through the Statistics, Percentiles, and Capability Metrics views). What is the certainty of having a Process Lead Time with in the prescribed upper and lower specification limits?  (Hint: type the lower spec limit in the box on the lower left of the forecast chart, type the upper spec limit in the box on the lower right of the forecast chart and hit enter). What is the percentage of non-compliance above the target? Based on the color coded dashboard, which steps on the critical path are most problematic (highest severity)?</t>
  </si>
  <si>
    <t>To view which of the assumptions had the greatest impact on any forecast (and causes the most variation), use the Sensitivity Chart. Which of the process steps and what aspect of the process step (cycle time, value-add time, defect rate and costs) most affects the Process Lead Time? Is this assumption one that you can control? Now that your triage is complete, where will you focus your improvement efforts? Once you have made improvements and inputted the changes into the process model, what does the simulation show in terms of capability?</t>
  </si>
  <si>
    <t>References</t>
  </si>
  <si>
    <t>The basic storyline of this model was inspired by a reference in Conquering Complexity in Your Business, by Michael L. George and Stephen A. Wilson, McGraw-Hill, New York, 2004.</t>
  </si>
  <si>
    <t>PROBLEM : Process activity in need of immediate improvement (Severity = 3)</t>
  </si>
  <si>
    <t>WARNING : Process activity needs improvement but not immediately (Severity = 2)</t>
  </si>
  <si>
    <t>ACCEPTABLE : OK for now. (Severity = 1 or is blank)</t>
  </si>
  <si>
    <t>Value Stream Analysis</t>
  </si>
  <si>
    <r>
      <t xml:space="preserve">   EST</t>
    </r>
    <r>
      <rPr>
        <sz val="11"/>
        <rFont val="Calibri"/>
        <family val="2"/>
        <scheme val="minor"/>
      </rPr>
      <t xml:space="preserve"> (Early Start Time)</t>
    </r>
  </si>
  <si>
    <r>
      <t xml:space="preserve">   EFT</t>
    </r>
    <r>
      <rPr>
        <sz val="11"/>
        <rFont val="Calibri"/>
        <family val="2"/>
        <scheme val="minor"/>
      </rPr>
      <t xml:space="preserve"> (Early Finish Time)</t>
    </r>
    <r>
      <rPr>
        <b/>
        <sz val="11"/>
        <rFont val="Calibri"/>
        <family val="2"/>
        <scheme val="minor"/>
      </rPr>
      <t xml:space="preserve"> </t>
    </r>
  </si>
  <si>
    <r>
      <t xml:space="preserve">   LST</t>
    </r>
    <r>
      <rPr>
        <sz val="11"/>
        <rFont val="Calibri"/>
        <family val="2"/>
        <scheme val="minor"/>
      </rPr>
      <t xml:space="preserve"> (Late Start Time)</t>
    </r>
    <r>
      <rPr>
        <b/>
        <sz val="11"/>
        <rFont val="Calibri"/>
        <family val="2"/>
        <scheme val="minor"/>
      </rPr>
      <t xml:space="preserve"> </t>
    </r>
  </si>
  <si>
    <r>
      <t xml:space="preserve">   LFT </t>
    </r>
    <r>
      <rPr>
        <sz val="11"/>
        <rFont val="Calibri"/>
        <family val="2"/>
        <scheme val="minor"/>
      </rPr>
      <t>(Late Finish Time)</t>
    </r>
  </si>
  <si>
    <r>
      <t xml:space="preserve">   Slack </t>
    </r>
    <r>
      <rPr>
        <sz val="11"/>
        <rFont val="Calibri"/>
        <family val="2"/>
        <scheme val="minor"/>
      </rPr>
      <t>(or Float)</t>
    </r>
  </si>
  <si>
    <r>
      <t xml:space="preserve">   CP </t>
    </r>
    <r>
      <rPr>
        <sz val="11"/>
        <rFont val="Calibri"/>
        <family val="2"/>
        <scheme val="minor"/>
      </rPr>
      <t>(Critical Path)</t>
    </r>
  </si>
  <si>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</si>
  <si>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</si>
  <si>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</si>
  <si>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</si>
  <si>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</si>
  <si>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</si>
  <si>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</si>
  <si>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</si>
  <si>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</si>
  <si>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</si>
  <si>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</si>
  <si>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</si>
  <si>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73e1460e-dff0-471d-b5f0-309d9faeeb8e</t>
  </si>
  <si>
    <t>CB_Block_0</t>
  </si>
  <si>
    <t>㜸〱敤㕣㕢㙣ㅣ搷㜹㥥㌳摣㕤敥㤰㕣㜲㈵捡ㄷ㌹㡥挳昸㤲㌸愱戰ㄱ㈵慢戱㙢愸㌲㉦搶挵搶㠵ㄶ㈹戹㐱㥡搲挳摤㌳攴㔸㍢戳昴捣㉣㈵愶㙥愲㈰㙥㤳愰㉤搲㌸㐱㤰戸㑥㙡〴㐹搰扥〴㐸ㅥ㠲㈴㑤ㅦ㕡ㄴ㘸㔱㌸㐵ㅦ㠲〲㝤㈸攰〶㐱晢搰愲㄰搰㤷㍣〴㐸扦敦㥣㤹摤搹㕤敥㤰㕡摢㉤㕤昰㐸晢敢捣戹捤㌹攷扦㥥晦㍦㈳㐳ㄸ㠶昱㉢㈴晥换㤴㘳收摥愵慤㌰㤲㕥㘵扥㔱慦换㙡攴㌶晣戰㌲ㅢ〴昶搶㜹㌷㡣㠶搰愰戰攲愲㍥捣慦㠴敥挷㘵㜱㘵㔳〶㈱ㅡ攵つ愳㔸戴㑣搴㜳㄰晥捡挹㠳挵㕥㘳㌹㠰攵昹戹㑢慢捦㘳搴愵愸ㄱ挸㈳㔳㔷㜵摦㤳㌳㌳㤵㤹捡昱㐷㡦ㅦ慦ㅣ㍤㌲㌵摦慣㐷捤㐰㥥昴㘵㌳ち散晡㤱愹挵收㙡摤慤㍥㉤户㤶ㅢ搷愴㝦㔲慥ㅥ㍤扥㙡㍦昲攸捣㈳㈷㑥㌸㡦㍤昶攸ㄸ㕥㙤㕣㥣㥦㕢っ愴ㄳ扥㐵㘳收㌹攵㐷ㄶ㘴搵攵摡愴っ㕣㝦慤㌲㍦㠷扦愹昹攳改挳㤵愵㜵㈹㈳扥㕡〶搲慦捡搰㐲挷㔱㙦㌶っ㥢摥〶㌷捦昲㑥㘳愹㔵㍢㡣昲摥扣慣搷㉤㉦ㄹ戵攸㕤挲摥搵敤慤㌱㙦㐹晡愱ㅢ戹㥢㙥戴㔵昰㤶㌱㔰慤攴㕤〹攵㘵摢㕦㤳ㄷ㙤㑦收扤㌳㑤户㤶搳挹ㄸ㝡㝦㌲㐴㝡㘲㙡昹㤵搹搰㥢㕦户〳㌵愳㤰ㅢ㤳搱昶㜴㔰敤㙣晢㐰晦㜱㌹㜵昵〶㡥昹㔰晦㜶愸戹㙡〷慤㤶搳晤㕢挶㡢敦㥣挱㠷晡户㑦敤㔱㘷㥦て昴敦愳戶戲戳戵ㄸ㡤改㕢敤㈸ㄶ㘳ㄵ〸㠶〹㡡〴㐴愰㌵㐲㌰㑡㌰〶㈰㜲晦つ㉥㐹㜷㘴㤵戹㘲㥢㉢慢收㑡搵㕣愹㤹㉢搲㕣㜱捣㤵㌵㜳㘵摤㕣㜱捤㤵攷捤㤵㙢㘸㤳愴攲昰戰ㄹ愷攸攷摦晥敢㑦㥤㝡㙣敥㕢挷慥㝦改㍢收㠱㉢㘳攳㘸昴㑣㍣愹㠵挰扥づ㔲㙢㔳昱戱捡㔱晥搹㤹㉢挰ㄴ捥〹攷挳捥捣㑣敤挴㔱晢戸㥤攷戲㌲㤰摦㐱㈸㘵戴ㅤ㜳㥥㜵晤㕡攳扡挲摤扤㜳㜶㈸摢ㅢ㌷ㅤ搷捤㌵㥡㝥㉤㝣搷昶㤵㑢㤱ㅤ挹㝢扡敢摡㠳昴㜴㕢〲㕢挹㔰扤敦扥敥㙥㔷敤㝡㔳捥摥㜰㜵昵扢扢慡扤挵愰戱摡扦昶㜴㈰㕦㘸搵昶捣㘸ㄶ㐲㙤㔳㡤摤戳㑡㕤愵攷㌵㌵扦摥〸愵慦愶㌷敤㉤扡搵㙢㌲㔸㤲ㄴ㠹戲愶㤶㝡〷慢㘲慥㥦扥攴㘳愱攰搶摡晤改㔲攷挹ㅢㄱ㤸㔹搶㌰摦つㄹ㐴㕢换昶㙡㕤摥搹搱㐴扦ㄳㄵ㠷㍢㡡㑦㌷慡捤㜰扥攱㐷㐱愳摥㔹㌳㕢摢戴㈱㘹㙡ㄷㅡ㌵㤹换ㄹ㑡㈸㐰攰づつ〹㘱㝣戰㍦㉦㈸㐴愴㔰㑣㐶扥扢㤳散㉡㤷戱㍡慣愲㉥㐹㤳收㠳㍢っ挶昹㉡ㄹ㤳挱㠱愹㌵㔱㝦昰愵て敦㌰㙣ぢ㜳㙦㙦㘳搳㥣㡣㔷晦攴愶昴愳戳戶㕦慢换㈰㔳晢〹捥挸㥡〰挸摦㠲㐰攸扢㝢㔴㜵攲㠶搸捡㕦㜷㙢搱㝡㘱㕤扡㙢敢ㄱ捡愰㈱㡢㐵㙥㙤㑦戲づ愰挸㍡㐸㌰〹㌰㌲㘲ㄴづ戱㔱㘱〴挹挸㔳㍡㘵昰㜲㠷㈰㘷扦づ㕥ㅥ㜳㑥扢昵㐸㙡愱㍣攱〰㈳㕡慢㈹昴㤵㐸愲㠱㕤搵ち攳㤰㌳て㉡戵㕤㍦摡㙡昳㙤て㤷㘸㈲摡㤷〵㝢㑥ㄶ㔰ㄴ㜴捡㠳っ㕥〳搱㜴㐹㠳散挶㈹㈲㈲ㅢ㘴㘸㜶㡣摣㐹㘴㙣㥦㈱㈳搰㍥㑤㠴㙣㝤戴扦㡣㈰戱昷ㄲ㈹㍢昵攵挷㝤㘹戶㥤㉤慦愵搹ㅤ搸㌸敢㑥㠲扢〸敥㈶㌸っ㈰晥つㄲ㡥㔲づ昹捥㘴扤ぢ捦搶扤〴敦〶㠰㝣戲㈸㜳㘲㔱㐵ㅢ㙡㌷㜶㈴摢㤵㘰㈷㉢愳㔸㡢㈲㕡挶㉤㍢戳攴㈹㐴挷㔶攷摥搰戵㌹愵㘳摦搷㥦㌶搳换㈱㐵㘶㌴㑤慦㜵㠷愶改㡤㘰搳〱昵搶㝢搰搵㥡㈲㜸㉦㠰㔶㉣㌴㜶㜷㘷捤搳㥣㝣㐷㤸㐴摡㄰ㅡ㔰戹挷㐴㑣昳㍦㐳挰昵ㅣ㕤昶敤㘷㥡㠲搳捥㍢摥㝥㍥搲㥦户㘳愴㜷改捣㝤㥤㐳㕦搱㙤㕡搰昷㠳扤挴扦昴搵㉦て愲摡㝡㠸攰㝤〰㕤晡㠵㈷敦摢昵ㄲ㈸㤳搸㑢㘱敥㈰㍤㉥捡挲㕤摥摡㤰㑡晢㡣㌹换㜶戰㈶㈳㜸㉦捥㉤挰づ㙥〴㠱慣攳㐰㕢㔳〵㍣扢摣搵㔹ㄸ㥥づㅡㅥ换昷敤攳昰ㅤ愱ㄸ㜲㌹㜳挸攸戲㡦㌳散捣㤴扦㈹㐵㌹搴扦挷晢ぢ㠹㔴愷㑥昲㘲扦散戳攵扥㈴ㄹ㐰㤲㍣㡣㙤戵㍥〰〰㈹㈱晥愹慦㐴㤹㘶戳㈳慡㔹愷戵㑡敦㕥挶挹愴换㝦搸㈳㐷㐶戵戳㜶づ扥㠳戰攴㉤戹㕥㑢㔸㡣㝡㡢㌲愸挲慦攰搶攵㠸㜶挹㔲搴散换㡡㜷㠸慣ㄸㅡ敡㌹㑢㘷昸搶ㄴ㥤㜴㐹㠹㑣㙥捦慣捣㌸㠷户㠹㡡㉥㐸ち㤵っ户㔰㑢〲㤱昲搸㜶㕦挴っ㈰㘲㉡搸㌸敢㐳〴㐷〹㘶〰昲晦〰㐹戳摢㡤㘷㈸㙣㜸㤳敥散㤵ㄵ愳㐸㌴㈸昷攰㑦晡ち慢㐷昸㥡ㄳ〴扦〶搰㘵晥搰昹㤸㐱㠸ち攵㈹㐲愴戵㘴㌹㔷㕤㜹㥤㌴㌰敥㈰愸㌴摦っ愳㠶挷愸㔲挹㔹㘸㕣㙣㐴ぢ㙥戸㠱㈸搴愴ㄳ㘷㥥㕤㤷㍥愸㉢㠰敤搳㔵搶搸搸㤰㌵换㔹㙡㌴㈱摡捥㉤散㠵㐳㌹搶〷㕢㔲㥤换㑤㠱㌴搸搹ㄸ㐳〸㜵㈲㠶慦㤵㥥搸㕤㜹扥㜹攸㥢㘸敦攸戲ㅢ搵攵愸愳㤹㡥昹愲㠳㕤㐴搴愰㌶散㉣慦〷㔲㉥㤴㥣㌳㠱㕢慢扢扥㈴㌲㘰㘳㌲㔰㜷㕥慥㈱㐲戰搸㘰晣慦攱㤷㥣攵挰昶挳つ㥢挱挴慤㠳ㅤ㑦㉡㈴㤲㜷收㕣㍦挴㙢ㄴㄶ㤹㥦㜰㤶搶ㅢ搷ㄱ慤㙤㝡晥ㄹ㝢㈳摣ㄳ㔸㈱搱敢愴㔰㈳㑣㘱㥡愲㘸ㄶ〷挵てて攴㠶㜱っ扦ㅣ㠱挲㤵㤱愷扦㍣㐳㝢搳慥㡦攳㌳戴搳㌹愷㌱㐴㡥㕡㠵㐳㤹㔲㤸㥣㙡㍤捡㍥㡦〱㍣㜵收捡戹㜶㔴敥㑤挵慢昳昴昰㘷挸㜸㐵ㄶ慤㈰〸晤㜳攳㥡㔴㔸㐶捡〱〷〲攳㝣敡㈶扦ㄱ㐷戵㈱昵㡤户戳愷ㄱ㐵ㅡ㜳捥摢慢戲㡥㔸戴㘷㐷攳晡㠱㘶慣㘷搷挳戸㙥扥攱㜹㌶㐹㡢㘴戹㔴戵㐹挱戳捤愸㜱挱昵㉤〷㐰搱㕦㕣㘴摦㐰㤱㝤㐳ㄵ㡤㌹㤷ㄹㄶ㔴㜹㡥搵㔸戳〳㌷㕡昷摣㙡㤱てっ摤敤〹㥡〴㤳㔳昲㈶㈹㤱ㄹ㔳㕤搶晣ㄵ㤸㙣㘱〵攸慥㐰㡥㜲敢㠸㝥㔰慥㈹ち昸㈳〶㜴㉣㐱挰㈸㉦愹昵㌸㐶换慢㥢ㄱ㄰㌹㉡摤㑡敥㕦摣晡㈴㑡戴㕦㡥㔸捦㈰ㄱ㜸〴㔳㐲㥥敥敤㠲㜳挵㜷㈳㘰㡦ㄸ㍢敤㐶ぢ㈱㔰づ㠰慣㍡摥摥愳戰㥡敡㌴摤搲ち敦改慤敡㔰ㄳ昷昵搶愷昵挶㠳摢㔴㙢㡤㤲㔲㈴㍢㌵㔲㥡㘵㥢㌹敥㈵㔵㈳㤴攲㑥戴㡤挸㜲㥢戶昷㥤㔲攴㑤㈸㈶㐵㌳㠶㜵㔲ㄱち㠲扣愴づ攸㈸晡敢戳挹㈳ㄵ慤愱つ㌰㐲㍤愵换㑡㜱㌸昰ㅣ慥㥣搴攴㐸晣〴晥ㅥ㡦戳㤷㥡㔱㐷㡤㝤㘳㌲慥㤹慤搷㉦昹戰ㄲ慡㜶㔰摢㈳㉣㡤戵㘹つ愳戸㜳㔰敤慦户㌷挵㠸㌱ㅢ㌲㈴㤲攱〷〶ㅢ㠲戹㔲搱㔴㕡㘷㈵㙥㜵慢戸挸愷ぢ搲昶ㄵ〶㤶愲摡㠲摣㔴㘶㔸摢㤲㥦㔴ㅤ㕡愷㐵㈵㐷㉤㘷㜶㌵㠴㑡㡦㈸挷攳㥣㘲㜰换戹㑣户ㄴ㉥㌰㐰散挶戹挵㙡㠴戰㙥㙢〰㥥っ昶づ㜶戰㈳㍡㙣㐲敢㡣ㄲ戴㤰㐱戸㥤㡢㈰敦っ㠸㔱〸㔲㐷愵晦㍡㈵㕥昹㉡搳㥦㥦㌲㤲㑣捣㐴っ㜵㘵㔸て㐰㙥㍡㉡㐹㉥㥡㑣㠲攵㕡戲㈹愱㌵㤶㤴搱挴㈸搱攴ぢ㈲摣攰㘱ㅣ㙢㠲㙣㔳挷ㅤ户挸㠵㌶慤㙦㡤㍢攷晣㙡扤㔹㤳㑡ㄵ㈷戲㕡㘹攴㍤㠱㉦㜵晤㑦㜳㔳挶扥挴㥢㜲づ㐷㈹㉥㤹㐸ㅡ摣敥戶㝥〳摤㤵㤰挳ㄸ㕡戶㌱昸㤸攱㤶㔳挱戰㥥㍢ち戴てて戶㉦㉦愸㡢㜳㄰㘹㍤㐵㤴㘵攷㜱ㄷ慦ㄵ㐱㔶摣㤶㙡㜶扥㜱扥㐱㥢㍤㔵㜴搶搵㐵㝢〲㐷㔸愷ㄶ㜸㠵〲㡣㤱〱戹㠳㠳ㄸ户攲挸敥慤㑦慡㐷攳搶愹搸昸㄰㡣敦昲ㄴ㘴㘰㔷挱㐸㌴戸捤戶搵㉤ㄸ昹愵攵㙤㍤〱㈰ㄸ〲愶㐱㡢㤶摡挰㤹㐳㝥㘷〳㠷挱挸㡣攸㘸㍡㤰捡ㄸ攵㈴ㅣ昶㐰ㅡ戸㠹〷改攵〶㤴㔰㜴㐸㕤ち㑢敥㈵㑥㝢㌸〲㌵㠲㍢扢ちㄷ敤〸㔷㕦晣挳㕤挵戳戵ㅡ捤㕤昸攷昶〴㔶㜱㙤㐳㥢愳㠷扡㉥㘴愹㌵搱扥㝢愰慢㈲扥㈸㜸㙣愱㜲搶㡥慡敢㑢搱㤶扥戴㌵㈸㐹攴晦ㄲ晥㠸㙤摦㑥㥢㌹攷昳ㄲ敡㈶昷㝥攴㥡摦戸敥慢㜹攵㐳摥昸愳ㄵ㙢つて㜳㤲㈳挶慦昰㐷㈵搳挸晦ㄸ㈳敥㘶摡ㅣ愰敤㈰攱㌸㑣戱㌴㤸㐲㌶㠳㑥㘰扢户㙥っ㤰㑥づ㜵搱㠹ㄲ〴晢㠴攲慦扤㘵㠴㈲晥〲㘸㈵戱〰搹挹攵㄰搳㄰㍦挲〳ㄱづㅣ挴㘲㈴晦㕥攴㌲㔰愷〴㜹㝣扤㠳㤷㐱晥晦㘰㈹攱收㙤搹改㝦㠱㤹挵て㠱〸㠵㈲攰愳挵㡦攲〷扤㈸㘲㈰昶戶㐲摥㥣晤晥㔱昳㙤扦搶晢㝦㜸搴㝣ちㄸ㘶㔲昲ㄷ㐱㌵〶攳㕢挶㠰搹㘳っ㍣㠴㙡㘵っ㍣捤㍥㡣搷㙢㘳㈰昶㜶㕣㐰挱捥挶〰愳㜸ㄹ㈶㕦㉡愸㥡㜲㘰昰慣㜵愷㐷㑦搸㔹㕣慦㤵㈱㈲昷㔰㑦攱㍣㝣㑦㜷昵ㄶ㉦摡㠱敤ㅤ㔶攵㘷〲〹戵ㄵ㉣攳扥戶敡挲ㅥ昷㙣㕢愳㍡㙤攳㤵㐸晣改晢㥥㤳摤摤㔲〷愶㜴搲㡥㝡㔱ㄴ㠵㌷攱ㄳㄱ㍣㈱ㄸ扦㜳攸㍢㘷晥昵攳㉦㥤攲扤戴㤸㔶昳っ〴てㄲ㥣愷攵㠰昰㙤敡㑡挸ㅤ晣晣收〲㍥㐴㜲㌷敡㜲捥づ㤴扤ㄳ㕡㕥㤲搵㠴㤷㈲㑣㑤㝣㝢挱㤸挴つ〷㙤㑣㔶扡ㅣ㥢敡昳㈵攵っ慣愴㈶慥扣㜷㐹㠰㔰昴㔵㔹〳摡㤵昹敦㐱改摣收㐴㍡敤㐱㥥㉦㤹㠴昸㙥愲搵㜴㠱㘱㥣挰㤹㐳㥢㠹㘲ㅡ㘵㠹㤴㐲愴㠱ㄴ㤲㍥戲㌰昴慦愴搴㈲㌲昹ち㐰㐶っ慤㍢㤸换㤳晦扥㄰㤰慤敢㝤〳㝥慡㠲㕤〴ㄶㄳ慦晢愰㘷㔷ㅥ昴ㄳ搵挴愰慣㍡㝤㍣㠳㡣㍡愶戰㠰㔱㕡㔵㝡ㄹ㤹㈴攵㘷㤰摢戵攳㠹㉦㈹㜹㍡挴愶ㄹ㍢敦搱慢㌶攲㍤改㌷㜱挷〳㝡愶愰ㄴ㠶㝦㤰挵㌸㝡慡㘸㥣㙥㍡愲㡢〸㈷㜴戶搵㘹㌴慥㠲捥昲て攳晣㠹㌰ㅦ扦〷㘲晤㜴㝢攸㍢扡㙢愸攳晣㘱㉣㤰㍦搸㕦昷㘵㌰㌶摥㑡㡥㠱㠴摤㔵慢愲扥〴扥㠴㉥㕣戴㈱慣㜶㔶㍤ぢ㐶愳ㄳ捥ㅡ敡搵晦㡣㔳㉢捥㕡㘶㙦〶慣㍢昴晦㔵ㄴ散愸晦〵愳㙣ち㘵捦挶ㄹ㍥攴ㄹ㈹搹㌱㌸挳ㅤ㠱てㅢ㘱ㅡ㜵〴戶㔴㤶挱㙤㥤㕢挲㈷慡扡㕡㐹㜰㜸戸㜲摤㤷㈰㕡㝤㘹摢㡥昶ㄵ㠰㡣〲攵晦っ㈲愸㙦㝦㑥扡昷ㅣ㕢昸〸㡡て㕤㜰慢㐱㈳㙣㌸搱搴ㄲ挲扢㔳晣挲捣㠱捤㌳㉢扥摤㉤搴ㅥ挰㑥㡣㝤ㄴ㝤㉥㕥㠲挰扥㈸愳户㉡敡挸ㄸ挲敥㘲ㄶ晣摡愸㥣ち㈴㔱㍢㠴〷㥣㘷㥡㜶ㅤㅦ愸㕥㠲㔷㌳㘲搱㥥㔰㜶摡户摣㝤ㄷ㠳㕢㠷摢㔸㑦挳昳㈳敢ㄵ㠴挱搴ㄲ㍥晡㌱敥㙢昷ㅥ㜴戶㡤搷ㄶ戲攵㘰摥戵㤱晣㌷㠱搳摤扤愵㤳㘴昸㑥㝥㜷㍣㘲㝤㡣㄰㜱ㅥ㝡㐷㜷敦㡡攵㘸㤳愰昳昸戳㙤扡扣愶敢㜰㤴敤㈲捥晤摢攸㉡㥥㈰挰捦㕡㠹㌳㥣㡣愰㍦敦㜱㘶㕥挳戲挸〰挸ㅢ〵ㅢ愰㍦㔵㝦㝤㍢慡ㄶ㍣㕡㤰ち㐷挴搷㔰捦㕤搲慢慤戱っ㐷つ㜵㠴㐰摥㤲〰㐹ㄲ㍣㐲愸昷扦㠲づ慤昷慦愱戴晦晢扦戲敤晢愹晣搵晡摣㘴㜰晣㕢㑥㤴㠷昵㍣㥥慣㙢〴㜵〲㡦㤵㠹づ㤹愰㔸愴慣㈹攸㈰挲て㑦㈱㡦昴㡦昱扦㙦㥣晡挹敢㑣晦㜹㑡㈸㐱㠸㉡换㔷㉤㌴㄰ㄴ㠴㙡ㄵ㕦㐸慦㘲〳愵晤㔷昱昹敤㔶㔱愶㡣㉣攳㘷〵〰愵〹㐱㕡㔱慢ち攳っㅦ㠴㐲㈸㌲㔶〴㤰愴㌲ㄱ慢晡㌶㤱㐱㕦敥扣敡扢ㄹ㘷昸㔰收昶戳㔵愹㕣收㑥改㙣㥥摢㤳昱㘱㡦戲㥡㜸ㄱ㤲扥㥣㠲㜶挶ㄶ戴慥㉣㝡戱ㄷ㜶㑦㐸㡣搸㝦摥㔷搰ㄷ〶㡣昰㡢捦㈵攸㍡㝢㌶昶㠳ㄹ㘶ㅣ㜳〲戹愸攰㠶㈰㜹㜱㈳挵㘷㤳挶摦晤㝥摢㐵㠳ち㈴搰㤴㙥㑣㌲㔴㡤㍦㤳㌴㍥㠶㉦戲㔴ㅢ㡣慣搳ㅢ㐹㘳㤲慢㙡晣晢㐹攳晦㌸㜶戸搵㌸愱㑥㍤㜲㤹愴ㄹ愳㤵㔴㤴㘱っ慢攳㐱敡㐳㙤㥥扡昳づㄵ散愸愳㡢㈹㕡㔵ㄴ戹慥㔴散ㄸ敥㠵〴昸㔴晡㍣慥㌹攱㌶〸愴戰晥ㅦㄳ捥攱晡搳㠲ㅤ搹昸ㄲ㝡ㄳ㜱攷挰㔲㑦散㕣㜰㉥〵㈸ㄸ㜶捥㠵㌸㜴搵昶ㄴ戵挰㕥挸改慤摥挱㍦㥦㘱㕢戶昷㈳㠹㤷㤹扣㑥㌲㤸㜶㔱㌱㤶㥣㜸㈹㐱戲㜱戳㑤㍥搶敦〲㌹㤰愳㠰捣㔸㥦〰搴㌱㤹㐳㉣㈸㔳㐰㔰㠶㔹㌷〱㑡㐳㘵㡡〶㑤〵㠲昲㠰㤴㔰昸ㄴ挰㐴昲㍦㔶㑣㙤㉡㤷㡡㈹㍥㤱扣㉥㑤㔳搶愷搹攱㈵㠰㈱昸㜲㠵摡㈶摣㔰戰㝥て㈵改搷㔲戶愸搷㝥〶㤹搲㔰㥥戳摣昵㜶㜱㌱〳敡戴捦愲慢攰ㅥ㜰っ敢㜳㜱㠶て昹㥢〰㡦昷户愲㜹㐸㑥㍥散㐷戸戳攳ぢ晥㈷昱㐵晥ㄶ搷㍡㠴晦㤰㈴慦㑣晥㥣昹敢㠳㡤㐵敡愷戵慥㝥㥢搸攳㌷㌱づ搷搵戶㍥㌹㈲㔵㤳昵〷〰㠲㠸攲慥㕢㝦挸㈷攲㐷㙤挹ㅦ㈱挳㤵昰㈷㠸㥣㥢捣〴㤸〷攷愲扡㝦㥥㈵㙡㈳㤱戱晥ㄸ㈰㐹㘵㙥愸㐲敢ㄷ㤰㈹つ㑤昰㑤搴㑤收つ㔱㝤慥昶摣㜳扦㤸挸㑤摤㤳晢捤㈷挶扥晡挶摦晦散攵㥦晥搶挹㝦晦攵慢慦晥昴攷㉦扦晥换ㅦ慦㥥晣摢㙦㝣攳㙦㥥晡搳搷㝦㜶搰㜹捤晣晥㉦捥扦昶攲捣戵ㄷ㕦㜰慥㝣昰捣㡢ㅦ㜹晥㤹㤹挵〳搳㐳㐳挳挳敦㥦晣扢扢ㅦ㉥摦㝣攱〷攲慦晥昹㉥㕦愸挹攳〵搶换〰㕣〰㝦㘵㉥㠲㐴㙣㝤㤱攰㑢〰愵昱〹㑥晢敤㥣㑢㤹㍢ㄱ戳づ㤷㝦ㄳ㍦㜱㉤摥戸㌹㍣ㄴ㠵㔱收㌴搵捣扥㡣っ㤴㉤㈷㜸ㄳ㍦攱挶つ㔵攵㔷㔸挲㘹慢慡戵捥㌱昲散㥡㜱ㄹ戵㉤㕡愸㜵㉤㜵㐸愵㤰改㍤愸ㅥ㠸挳昶搳慤㌶〷㕢㈵慤昳改㜸慢㐸ㅤ㌹㙦昷㠸ち㙡挰㕦挳戸扦㍦㌷昰〰㥣㐸挱愲搸㜵挳昸㤸晡ち〶㔷晥㍥慢㤵㔳㡦㠲㥢愸〸晣㑦㤰挹戳㜲ㄷ㐳㤳㝣〶ㄴ㉤慦愲慢攰扢ㄴㅦ㝤つㄹ㈶挵㐷慡ちて搶搷㔵㤹〶㘵㌶搱昴㔲㘶戹捥㡥晥て昴㈶㈱㜴</t>
  </si>
  <si>
    <t>Decisioneering:7.0.0.0</t>
  </si>
  <si>
    <t>CB_Block_7.0.0.0:1</t>
  </si>
  <si>
    <t>㜸〱捤㔸捤㙦ㅢ㐵ㄴ昷慥扤敢㕤㝦戴敥昷㜷㙢㔵㉤㙤㐹㜱攳㈶㔱㍦㔰搵挶㜶㥤㐴㙤㤳戴㜶搳㠲㠴㔶㙢敦㙣扣捤㝥㤸㤹㜵ㄲ㤷ㄳㄲㄲㄲ〷㌸㜳㐰ㅣ戸愲摥㄰㉡ㄷ㈴㄰㐸㐵挰㍦〰ㄲ昴㠲㠴㐰愲ㄷ戸㔵昰摥慣㥤慥ㅤ㤷戶㈱㐸㥤挴攳㤹㜹㌳㙦摥扣㜹敦昷摥㌸㈲㐴㈲㤱扦愱攰㌷㤶ㄸ㌶昶㔶摡捣㈷㑥慥攸搹㌶愹晢㤶攷戲摣㌸愵㝡晢戲挵晣㈸㑣㤰㌵ぢ攸㑣搲㤸㜵㥢㈸摡㈲愱っ㈶㐹㤱㠸愲愸㈲搰㤱〹㝥㌲摤㡥㡡慢㔲㌱愸慡挵挲㑣敤ㄶ㜰慤昸ㅥ㈵挷戳㜳挱摡㜳昹㝣㉥㥦ㅢ㌹㍤㌲㤲ㅢ㍥㥥㉤戶㙣扦㐵挹㌹㤷戴㝣慡摢挷戳戳慤㥡㙤搵㉦㤱㜶搵㕢㈰敥㌹㔲ㅢㅥ愹改愳愷昳愳㘳㘳收㤹㌳愷㔳戰㜵㘴戶㔸㤸㈴㜶ㄳ昸慤ㄷ㔷ㄹ戸㑥ㄷぢ戳㤴㤸敢挵㔳㐲㐵攴㑢愴㙥愱挶〸愱㤶㍢㥦㉢ㄶ攰㍦愴ㄵ攸㥤捡捤㔴㉡挴㘵㤶㙦㉤㕡㝥ㅢ捦愷㍡㌳昵摡㥣㙥户㠸散㜰㤱ㄴ㘷㑥愷搳扡㐳搲捥㜵㐶慥改敥㍣挱㥥攴㑣戴㉣㈳〶㌷ㄹ㍤㌶㘸愳㡥㤲㜲㌳挵㐲戱愱㔳㥦戳挴つ㑥っ㥡捤㜷捡㠵㐴攱㙢昸㈸慡㐷㐸㜶㙣㠵敦㠹㔲挶戱㔲愰㤲㔵愸戶㠴㔶㘶昹搲㙣㕥㠸晤〵ㄶㄷ㕥㤸㠴㤹愲愶㡢㕡㑤搴敡愲㘶㠸ㅡㄱ㌵㔳搴收㐵慤㈱㙡㤶愸摤ㄲ戵〵㤸搳㉤㑡㍣㉥㜶捡慢晥搷愲晣摥愵愹㜷㈶㡦摣ㅢㅤ晤㙡㑢ち㜹㑤挳搹㜲搳挴㕦㈷㐳㤰昰㑣㑦慦换ㄴ捣㤶㥣攰㉡㑡㠴搵㔵扣愷㈹搷㈰换㌲戴攰晥㔲㑥搱㜳㝤戲散㤷㜴㕦㡦㍢戳㍡㈵慥慦挲愴㈱扥㉡㘸攱捡㌴ㅦ敢慥㑥㜴㝡挰㈱挳㥢㈱㉥㐹㍥㄰㜰ㄲ挰昵愲戱愰㔶攴㐱捥㍣愹戳㠶慦搷㙣㜲愸敦捡㔱㙦㘰㘵搷㝤换㘶㌹㘰㌹㐱扤㔶ㄳ㌵扡㕥㝣戸㈱愳㘱挸㘹愸㌸昴攰㌷㙣㜰㐱摤〰㕦〹ㄵ㠹㉡ㄲㄱ㤶攰ぢ㑡㤷㤶摡っㅤ㄰戱攴㌹扡攵慥搳攵愶戶〰搳慢ㅤ㉢㉥㔱㝤〹㍣昲ㄱ敢㤳戹㘱晣㝢㌲㈴〱㈲㤹㘳收㈹㌳㥦㌷挶㠶昵ㄱ㕤㐲ㄷ㜸㔶㡦摡ち㙢㔲捥つ换㌵扣㈵敥㘲㥢ㅤ昰ㅦ敥㌶搵㜶㤳昰愱㤴㔹搵改㍣〱户愵㔳愵慤㘶搱愳㤴搸扡㑦っ㍥㠰〸扤愳㜷㤰㤵愹攷攰昸摥㠲捥挸㈳昷ㅤ㌲㠳㡤ち㕥换㌵搸㥥挱挴㡡て慣㜷昷搳ㅥ㌱㔹戵慣〲㤰㐶ㄸ㤷㜴㝦晦㌲㙥晣攳换㔶㐰摥搷㐷〶㔰昳㙡㡦愷㤶㈹㜹㝤㠵扡㑡愲㜱〸㔳㡢〴改慢㑥ㄹ㤰〲戹〰㠲㍣㐶㕣㉥摥㤰㌳㙢搵ㄷ〸慤㄰っ㜲挴攰㐷摤㠶㈴〲晥㔸㈷㙣㘸〶㔵て愸㙡ㅣっ㡦㥡ㄷ㤷㝤〲摥㙣㠰扣㄰㙤晣㜶ㄵ㍤㘹㝢捦㤴㘰㑦㈰散敡ㄹ㉥㝢昵ㄶ㐳慦愵㥥摤㑢ㄹ㌷ㄶ㜵搸搳戸攲ㄹ㈴ㄶㄳ愳㤱㔸㈴㠶〵挲㘸㌴ち慥㍣摣攷愸㍣㘴㈰㙦ㄶ挶收㤰攵㈰㌸㡦㍣搵愲㕥昳挲㜵㠳㈰㘳㈵晥ぢ㍢㝢㝤㈵㜷つ戴〷㕡戲〹㍡㤲搸㡦㈸㈱㐱ㅦ㔹つ㙥㌲㄰㑦㠳ㄳ㠵㜴㠶㜶㡢戳㡦㍥晥㈸㥣敤㡡㘵晣扦㤳㐵㜱㑢攷昴ㄷㄷ〱戳㈷㜵搷戰〹晤㜷㝤愱㐴㉡㝡戶扡つ慢敤㔰㈵㈲搲慦㠰㙥㡦搵㈴㈶㑡挲戲搰㤶㤶㉣挳㙦挸つ㘲捤㌷㝣ㄸ㠳晣㑡㔱㔰捤攷〱攲慦挲攷ぢ昸ㅣ挶㈴㑢摤㠹搵㉥愸ㄲ㠹㐴㠰㥦㜲㐲摤〳㝤㜹㉦㔴㥢挳㘱㌸戰㤲㠴㄰㐳挰ㅤ㈴晢㑡㜸挰戸㤷戸散改㐶㔹慦㐳扡ㄶ敦㈴㙢㑡搱㜳㥡㄰戴㘸〶㘷ㄶ挱㘴挱ㄵㄶ㉤㠳㔰〵〷㉡㤰ㄴ挶㈰㔷㘳㌲㜷㜸〶搱㈸ㅡ㤱愴愴㌲㘸慦愹㉥慦㐳ㅤ挵㠶㤳捥愹㔵晣㝦扦㝡晡㍣㥥㌷㤱挰㐴㑡摤㠷搵㝥愸㈴㔴昰㌳㍢挹㐶㔸戴摤愹㌴扣愵㐹搰㌰㘱㐱㉥挴㡡搴昲㜷慣ㅥ㠶攸慡㍢扢昸昸〴㈵㠰㡢戴ち昰挰捦㠸㉢㜶て愴昰㐵扢戹㡤㠶扣㜳挸㥣戳挸ㄲ㘲晡㠱搵㈴㐸收㡡㉤收㝢㍣ㄹ搸扦㥡㕥昲愶㍤扦㘴戱愶慤户てつ㈰〷㤴ㅢつ攲〲愴㔱㐰戶㈷㑤昲㥡㑤㘲っ㤰戱攲戵㘸㥤㑣㤵㥥〷㔰㠴㥢ち㡡挰昱㔰㔰〴㔹ㄴ愰慣捤ㅦ㈳攸㈹挲ㅢ㕢敦㑣摣扦晤搶㜹昴㔰〱晣〶㍣㐷㐲ㅦ㕤ぢ㙥㘲摡㤲敥㠹搶摢㌰㉢扦〲㉦ㄹ慢㘹㤳㠲㑥挱戰㍤捡㔴愷摢っっ㉦攴㤸㠱户㍣て捡㠶攰ㄳ㠴㥤摣攳㘱㌷㈴㌸户㐱㌴㘶慥挸慤㝤昱㠱㥦ㅢ㐱㙢㡤㜷㈵摤〷愸㝣㐶㐱〰ㄶ㈳昱㐵捣戵㌵つ㜲㔷攸㘱ㄱ愴㥦㠱搵㐰昹㄰㜱㘳㉥扥㥥昸慡挴㠲敢㉤戹㕣㜲㠹㘱ち㠴っ搵㜸ㅣ㡦㤱㠰て㉦㘳㄰㥣戹搹㐴㈴〴昵愱㐱扡ち㔲搵㤵攷摤㤴〱㔱愳昳㥥㑢攱㝢慥㑡〹㝦戴㈹扣〳㉡㑣㍢㌷㍣扡㔰昳扣〵㝣㐰㙣攰㍤搶㈰挴挷〷㔶搲〹㕥㠹搸〶摢㡦㐶㝢ㅥ㔱ㅤ扤㈳ㄱㄳ㘵㥥㐴换〷愱ㄵ㉤搳㍡敦〹㍦挲昹昱昱昵换扤㍦收ㅥ㤶扥㉣摦㉤ㅦㅥ扡昹昹愸㈵晣搰㈱㝣晣改㠱㔷敥㝥昳㘶昹愳户㌳㝦㍡愹㥢㥦㐸ㄸ㔷㥥㉡愶㘷㘰攲㐶㜳〵扢慡㤶㙦㤳愴ㄹ㤸〶戶ㄵㄳ搰〸昲㉤㈳㙥㔶ㅢ㜰敡㔲摡㥣愰㤶㘱㕢㉥㐱搳㠱㑣ㄶㅦ愳㤷挹㍣攴㔶戳ㅥ㍥㝣㍤㌷㙤㔶愹敥㌲㡣㌵㙥扤扤戹愷挷扤㐵㌲ぢ㤶换㘰ㅢ㡥㤷搸摥㘸㈲㥣挳捤戵ㅣ㜷㐲㙦戲攷挱㥤昸㙦㈱愰ㅥ㈸〱㜸㠹㠲㈸ち㡡愸慣搱㈳㈲昲ぢ挰㙡㝦挸〳捦㘶㈱〲㐳捡捡戲㤷㠹㙥㘴慢㤶㐳㈰ㄷㄳ〵㠴㌹昱㈴㙥ㅣ愰ㅢ昶㥦㍥昱㐲愳㑦昱摦ㅡ㍡ㄹ㜱㜴㔰〴㕦挹っ搱捤搴㈳㔰〹㤸㜷㜰㡦㌹摡㘹㘰㈷㠳挱ㅡ㘳户㝣っ慡つ挵㠲ㄶ捡昳攴ㄷ㘱㙣ㄳ㡣〵〶摥昵㤳っ挶㜶㥥摦攰㜳㑡㍤づ㤵挰㜷挰摥㑢㔰㜵㑢〶㜷㐲ㄳ㔴㜳㔰愵㌷ち㌸ㄵ扤㔲㍥㠱晤㜱摢捥㜶晤㡡挹挳㌸搴昳昳㠷㥣㠷愱㑤摣愴戲ㄵㅦ㠲扢㤳㕢戶㤹㈳㝣摦㜱㡢つ攵晢散挱㑦晢㈶㍥㜹㌰晣挱㠷㜷㝥㝢㔷昸慥㐳攸晦昹㈱㠳㐲愱ㅣ改㡣㠴㤲扣㍣〸ㄴ㔶㘵戹㐳晤㑦㡡㡢昰㐴㘸攳戹愳㤰㐷㐹㕣慥㤸㜸㜶㙤扣扡挰㡣搷㈳㝤ぢ㜲晦〷㍥㜸㡦扤戸㝡〰㐶搴㌱㘴㡤㔵㍦戶㘲㉡㔸挶㜳昴㘵戲挹㈴㈲㘹昵晤捦㉥㍣ㅣ㜹㙤㍣昹て愰ㅡ㝥搶</t>
  </si>
  <si>
    <t>56efc9e6-44fd-46c3-b946-252b58bf3469</t>
  </si>
  <si>
    <t>CB_Block_7.0.0.0:5</t>
  </si>
  <si>
    <t>CB_Block_7.0.0.0:4</t>
  </si>
  <si>
    <t>CB_Block_7.0.0.0:3</t>
  </si>
  <si>
    <t>CB_Block_7.0.0.0:2</t>
  </si>
  <si>
    <t>㜸〱敤㕣㙢㜰ㅢ搷㜵挶〵〹㄰㑢ㄲ㈴㉣捡㤲攵㌸づ攳㐷㙣㠷ㅡ㐴㤴慣挶㙥㐶㤱昹搰换搶㠳ㄶ㈹㈹㜶㥣㔰㑢㘰㤷㕣ぢ㔸㔰扢ぢ㑡㜴摣㕡㜹㌴㙤㔲晦㑡晡㜲敡㘹搳戴晤搱㍦㐹㌳㙤敤㌸㜵㍢㘹㥢㍥愶㘳㜷晡㈳搳㤹晥攸㡣㥢㜶摡ㅦ敤㜴㌴搳㍦昹㤱㤹昴晢捥摤〵ㄶ〰戱愴㘰扢愵㍢扣㌲づ敦㥥晢搸㝢敦㌹昷㥣㜳捦戹敢㤴㑡愵㔲㍦㐱攲㕦愶㝥㘶敥㥡㕦昷〳慢㕡㥣愹㔵㉡㔶㈹㜰㙡慥㕦㥣昲㍣㜳晤戴攳〷㝤愸㤰㕤㜴㔰敥㘷ㄶ㝤攷㌹㉢户戸㘶㜹㍥㉡㘵㔲愹㕣捥㐸愳㥣㥤昰㔷㠸ㅥっ戶ㅡ敥〷㔸㤸㤹㍥户昴㉣㝡㥤て㙡㥥戵㝦晣愲㙥㝢㘴㜲戲㌸㔹㍣昴挸愱㐳挵〳晢挷㘷敡㤵愰敥㔹㐷㕣慢ㅥ㜸㘶㘵晦昸㕣㝤愹攲㤴㥥戰搶ㄷ㙡㔷㉣昷㠸戵㜴攰搰㤲昹昰㈳㤳てㅦ㍥㙣㍦晡攸㈳挳㜸㜵敡散捣昴㥣㘷搹晥㍢搴㘷㠶㐳㝥㜸搶㉡㌹㥣㥢㘵㜹㡥扢㕣㥣㤹挶㝦戱昱攳改愳挵昹ㄵ换ち昸㙡换戳摣㤲攵ㅢ㘸㌸㔴㥤昲晤㝡㜵㤵㡢㘷㔴㡦㘳慡㈵搳て㌲搵ㄹ慢㔲㌱慡㔱慦戹敡㌹慣㕤挵㕣ㅦ慥捥㕢慥敦〴捥㥡ㄳ慣㘷慢ぢ攸愸㥣慦㕥昰慤昳愶扢㙣㥤㌵慢㔶愶㝡愲敥㤴晢㜵㑡昵㍤㄰㜵ㄱㅦ㤸㑣扦㌸攵㔷㘷㔶㑣㑦㐶攴㜳㘱ㄲ敡ㅥ昷㑡慤㜵敦敤摥㉦㠷㉥㙦㘰㥦昷㜷慦㠷㤲㡢愶搷愸㌹搱扤㘶㌸昹搶ㄱ㝣愴㝢晤搸ㅡ戵戶㜹愸㝢ㅢ㔹捡搶摡㙡㈸攴㙦㔹㔱㑣挶挸ㄲっ㄰攴〸㐸㐰㘳㤰㘰㠸㘰ㄸ㐰昵晦㌷㜶㐹扣㈱㡢搲㡢㘶㝡㜱㈹扤㔸㑡㉦㤶搳㡢㔶㝡搱㑥㉦㉥愷ㄷ㔷搲㡢㑥㝡昱搹昴攲ㄵ搴㠹㔲㙥㘰㈰ㅤ愶㠱㉦㍤晤收〳慦㍥㜰散㐶昱㤵㉦晥㑢摦敦扣㌸㍣㠲㑡㑦㠶㠳㥡昵捣㙢㘰戵㈶ㄷㅦ㉣ㅥ攰扦捤㜷〵㌶㠵㝤搸晥愸㍤㌹㔹㍥㝣挰㍣㘴㘶㌸慤〴攲户㌰㑡〱㜵㠷敤㑢㡥㕢慥㕤ㄳ摡摤㌵㙤晡㔶㜳攱㈶挲戲改㕡摤㉤晢敦摢戸㜰㍥㌰〳敢捥昶戲㘶㈷ㅤ捤收戱慤㉣㕦摥㜷㜷㝢戳㡢㘶愵㙥㑤㕤㜷㜴昱晢摢㡡慢㜳㕥㙤愹㝢改㜱捦扡摡㈸敤ㄸ搱ㄴ㠴摡㥡昴摤㌱㑢㕤愴挷㌵㍥戳㔲昳㉤㔷㠶㌷㔱㥤㜳㑡㔷㉣㙦摥愲㐸戴捡㌲搵摢㔹ㄴ敥晡㠹㜳㉥㈶㡡摤㕡扥㈷㡥戵㡦㕤て戰㤹慤㌲挶扢㙡㜹挱晡㠲戹㔴戱昶戴㔴搱敦㐴挱扥ㄶ昴昱㕡愹敥捦搴摣挰慢㔵㕡㑢愶捡㙢㈶㈴㑤昹㑣慤㙣昵昷愷㐴㈸㐰攰昶昵㈹㤵晡㜰昷扤㈰㠴㠸㤱㤸ㅢ昹㡥㔶戶㉢㥥挷散㌰㡢㡡㐵㥥㑣摦户㐹㘷ㅣ慦挸㤸㠴ㅤㄸ㥢ㄳ昵〷㕦晡攰㈶摤㌶㈸昷敥㔶㑥愷挷挲搹ㅦ㕢戳摣攰愴改㤶㉢㤶㤷愸晤ㄴ㐷㘴㡣〲㘴㙥㐲㈰㜴㕤㍤慡㍡㜵㕤慤㘷慥㌹攵㘰㈵扢㘲㌹换㉢〱㜰搰㤰戹ㅣ㤷戶㈳ㄹ户〱㘵散㈲ㄸ〳ㄸㅣ㑣㘵㜷戳㔲㜶㄰㈹㤵愱㜴㑡搸换㉤㠲㥣敤㕡昶昲戰㝤摣愹〴㤶ㄶ捡愳㌶㈸愲戵㥡㤰㉦㑦ㄶ昵捣㤲㔶ㄸ扢敤ㄹ㜰愹改戸挱㝡㜳摦㜶散ㄲ捤㐴㍢戲㘰摢挹〲㡡㠲㔶㜹㤰戰搷挰㌴㙤搲㈰戹㜲㡣㠹戸つㄲ㌴㍢㝡㙥㘵㌲搶㑦㤰ㄱ愸ㅦ㘷㐲搶㍥搰㕤㐶㤰搹㍢㤹㤴㡤扡敥挷ㅤ㘹戶㤱㉤慦愵搹敤㔸㌸㘳て挱㕥㠲㍢〸昶〱愸㝦㠳㠴愳㤴㐳扥㌵ㄹ敦挳戳㜱ㄷ挱晢〱㈰㥦っ捡㥣㔰㔴搱㠶摡㡡ㅤ挹㝡㜹搸挹㘲ㄴ㙢㔱㐴换戸㘱㘷收慢㐲攸搰敡摣ㅥ扡戶㕦㜴散㠷扡昳㘶㝣㍡攴挸㠴慡昱戹㙥㔲㌵扥㄰慣摡愳摥晡〰㥡ㅡ攳〴ㅦ〴搰㡡㠵挶敥搶慣㜹㥡㤳敦〹㤳㐸ㅢ㐲㍤㉡昷㤰㠹㘹晥㈷〸戸㡥愳换㡥晤㑣㔳㜰挲㝥捦摢捦晢扢敦敤㤰攸㙤㍡㜳㐷攷搰㔷㜴㡢ㄶ昴㍤搸㕥敡㥦扡敡㤷晢㔰㙣摣㑦昰㈱㠰㌶晤挲㤳昷慤㝡〹挴㈴慥挶㈸户㡢ㅥㄷ戱㜰ㄷ搶㔷㉤搱㍥挳昶㠲改㉤㕢〱扣ㄷ愷㘶㘱〷搷㍣捦慡攰㐰㕢ㄶ〴捦㉥㝢㕢㤱晥㜱慦㔶㈵㝥挷㍥昶摦ㄳ㡡愱扦㍦摤㤷㙡戳㡦ㄳ散捣㤸扦㈹挶㌹搴扦㠷扡ぢ㠹㔸愳㔶昶㘲扢攴戳攵㡥㈴改㐱㤲㍣㠸㘵㌵ㅥ〲㠰㤴㔰晦搰㔵愲㑣戰摡㝥愹搶㙡慤搲扢㤷㜰㌲㘹昳ㅦ㜶挸㤱㈱敤慣㥤㠶敦挰捦㔷攷㥤㙡㐳㔸っ㔵攷㉣慦〴扦㠲㔳戱〶戵㑢㤶愲㘶㐷㔶扣㐷㘴㐵㕦㕦挷㔹㍡挱户㈶㝣搲㈶㈵ㄲ㜷㝢㘲㘱挲㌹扣挹㔴㜴㐱㔲愸㈴戸㠵ㅡㄲ㠸㥣挷扡㍢㈲愶〷ㄱ㔳挴挲ㄹㅦ㈱㌸㐰㌰〹㤰昹㍢㐸㥡慤㉥㍣㐳㘱〳㙢㜴㘷㉦㉥愶㜲㈴㠳戸〷摦散㉡慣ㅥ收㙢づㄳ晣ㄴ㐰㥢昹㐳攷㘳〲㈳ち挹㘳㡣㐸㙢挹戰㉦㍡搶㌵昲挰㠸㡤愰搲㑣摤て㙡㔵㐶㤵昲昶㙣敤㙣㉤㤸㜵晣㔵㐴愱挶散㌰㜳㘹挵㜲挱㕤ㅥ㙣㥦㌶㕣㙤㜵搵㉡ㅢ昶㝣慤づ搱㜶㙡㜶㍢ㅣ捡㌱㍦搸㤲㜲㉥㑦㉢愴摥捥挶攸㐲挹㠹ㄸ扥㔶㝡㘲户攴昹收愱㙦戴戹愲ぢ㑥㔰戱㠶㙣扤改㤸捦搹㔸㐵㐴つ捡〳昶挲㡡㘷㔹戳㜹晢㠴攷㤴㉢㡥㙢㤱ㄸ戰㌱ㄹ愸㍢㙤㉤㈳㐲㌰㔷㘳晣慦收收敤〵捦㜴晤㔵㤳挱挴昵㕤㉤㑦ㄲㄲ挹搸搳㡥敢攳㌵㐲㐵收㐷敤昹㤵摡㌵㐴㙢敢㔵昷㠴戹敡㙦ぢ慡㤰改㜵ㄲ搲愸戴㑡愷㔵㉥㥤敢㤵㍥㍣㤰愷㔲〷昱敢㈷㄰㕡愵㌲昴㤷㈷㘸㙦摡昵㘱㝣㠶㜶㍡挷㌴㡣挸㔱〳搹㤷㈸㠵戹㔳㡤㐷搸收㔱㠰挷㑦㕣㌸搵㡣捡扤慤㜸㜵㠶ㅥ晥〴ㄹ㉦㙣搱〸㠲搰㍦㌷愲㔹㠵㌸㜲づ㜶㈰㈸捥愷㜶昶ㅢ戴愵づ戹㙦愴㤹㍤㡥㈸搲戰㝤摡㕣戲㉡㠸㐵㔷捤㘰㐴㍦搰㡣慤㥡ㄵ㍦㉣㥢愹㔵慢㈶㔹㡢㙣㌹㕦㌲挹挱㔳昵愰㜶挶㜱つㅢ㐰昸㉦㐴㤹搷㠱㌲慦ぢ㙡搸㍥捦戰愰攴搹㔷㙤搹昴㥣㘰愵敡㤴㜲㝣㘰攸㙥㕢昰㈴㌶㌹㈵㙦㤴㈲㤹㌱摥㘶捤㕦㠰挹收ㄷ㐱敥㈲攴㈸㤷㡥攴〷攷愶㔵ㄶ晦㔴㡦㡥㈵〸ㄸ昱㤲ㅡㅦ㐳㙦ㄹ戹ㄹ〱㤱㈳改㘶㜴晦攲收ぢ挰㘸扦ㅣ愹㥥挰㈲昰〸挶㠴㍣摤摢㔹晢㠲敢〴愰ㅥ㈹㜶摣〹㘶㝤㤰ㅣ〰㔹㌹摥摥㈹㔴㡤㌵㥡㘸㘸㠵て㜴ㄶ戵愸㠹扢㍢换攳㝡攳扥つ㡡戵㐶㠹㈹㤲捤㉡㠹㘶搹㘰㡣摢㐹搵㈸㔱摣㤱戶㔱㐹㙥搳收扡㔳㡡扣つ挵㈴㍣㤳㌲㡥〸愳㈰挸㑢敥㠰㡥愲扦㍥㤹㍤㘲搱ㅡ摡〰㠳搴㔳ㅡ㤷て挳㠱愷㜰攵愴㙣つ㠶㑦搸摦㈳㘱昶㕣㍤㘸㈹㌱慦㡦㠵㈵㔳㤵捡㌹ㄷ㔶㐲挹昴捡摢㘴㑢㘳㙥㕡挳挸敥散㔵晢敢攵㡤㙤挴㜰ㅢ㌲㈴㤲攰〷挶㌶挴收㡡㐵㔳㘹㥤攵戹搴つ㜴㡥㑦㘷㉣搳ㄵち捣〷攵㔹㙢㑤捣戰愶㈵㍦㈶つㅡ愷㐵㤱愳㠶㍤戵攴㐳愵〷㤴攳㘱㑥㌶戸㘱㥦愷㕢ちㄷㄸ㈰㜶挳摣㕣㈹㐰㔸户搱〱㑦〶摢㠷㍡㔸ㄱㅤ㌶愱㜵㐶〹㥡㑤㘰摣搶㐹㜰敦昴㐸㔱〸㔲㕢搲㝦ㅤ㔵㕦㝢㠹改昷㡥愶愲㑣戸㠹ㄸ敡㑡戰ㅥ㐰摣㜸㔴㤲扢㘸㉣ち㤶㙢挹㈶㐲㙢㌸挲搱挴挸搳攴昳〲摣攰㘱ㅣ㙢㤴摢愶㠲㍢㙥㠱〳㙤㕡㔹ㅦ戱㑦戹愵㑡扤㙣㠹㉡㡥㘴戵㘸攴㙤㐱㉦戹晥愷㜷㔳挲扡㠴㡢㜲ち㐷㈹㑥㤹㐴敡摤敥㌶㍥㡥收㈲攴搰㠷㤶㙤っ㍥㈶戸攵㈴ㄸ搶㜱㐷㠱昶攱慥收攵〵戹㌸〷㤱搶㠱愲㉣㍢㡤扢㜸㡤〸戲散戶㔸戵搳戵搳㌵摡散㌱搴㐹㐷愳戶〵㡤㌰㑦㉤昰戲㔹ㄸ㈳㍤敥づ㜶㤲扡ㄹ㐶㜶㙦扥㈰㡦愹㥢㐷㐳攳㐳㌱扥换㔳㔰ち慢㡡㡤㐴㠳㍢摤戴扡ㄵ㈳扦戴扣㡤挷〰ㄴ㐳挰㌴㘸㔱㔳ㅢ㌸搳挸㙦㙥攰㌰ㄸ㤹㄰ㅤ㡤〷㔲ㄹ愳ㅣ㠳挳ㅥ㐴挳㙥攲㐱㝡愱〶㈵ㄴ散㤶㑢㘱搱扤挴㠹㉡㡥㐰㌵㙦㑦ㅢ㜲捥っ㜰昵挵摤搷㠶㥥㉡㤷㘹敥挲㍦户㉤愸㡡㙢ㅢ摡ㅣ摤摤㜶㈱㑢收㐴晢敥摥戶㠲昰愲攰挱搹攲㐹㌳㈸慤捣〷敢晡搲㔶慦㉣㤱昹ㄳ昸㈳㌶㝣㍢㙤收㝥㤷㤷㔰搷戸昶㠳㔷摣摡㌵㔷挶㤵昱㜹攳㡦㔶慣㌱㌰挰㐱づ愶㝥㠲㝦㤲搲愹捣敢攸㜱㉢挳㘶〷㑤〷〹晢㤱㌴㘸ㅣ挳㕦㕡㍢攳昸㥢挰㉢戰摦ㅢ户〶挸㉢扢摢㜸㐵㠴挱づ戳戸换敦ㄸ戳愸敦㠲戴㘴ㄸ㄰㍣扡㈰㤲㑥愹搷昰㐰愲㠳〶㈰㥣㜱㤲㄰攴晢㈰晥㈶㤰㑦〴㝡㜸捤㠳㤷㐲晥晦㔰㉡摡搵ㅢ㙥慢晦㠵㑤慤㕥〵㌱㠴㑣愰㐹㘳㕦慡㔷㕡挹昴㐴㐸㈶〶㘵㙦㈹晣捤ㄹ散ㅣ㍢摦昵㉢扥晦㠷挷捥㌳愰㌰㤳㔸㘶〸戰摤㠷㝣挳㌰㐸㜷ㄸ〶昷愳㔸っ㠳戳㙣挳搸扤㌶っ㐲捦挷ㅣ㄰㥢ㅢ〶㡣攸㈵㤸㝦戱〰㙢捣㤹挱㜳搷㥥㉡扤㘲㈷㜱搵搶昲ㄱ挵㠷慡昲㘷攰㠷摡摢㠹㥥㌳㍤戳扡㑦昰㈷㍣ぢ㉡捣㕢挰摤㙤㘹挲ㄶ㜷㙥㔸㈲㡤㌶昰㔰㐴扥昵ㅤ㉦捡搶㙥慣㠳㔲㍡㘹愷扤捡愹散摢昰㡦㈸㥥ㄶ㔲㥦搹晤捤ㄳ晦晣摣ㄷ㡥昲㡥㕡挸慢ㄹ〶㠵㝢〹搴搳㠲㐰㈸㌷㜶㍤攴㜶㝥㡡㜳〶ㅦ㈵㌹慢ㄵ㙢摡昴挴昶昱㡤㙡㤴搵㡣ㄷ㘳㑣捤㝣摢挱戰挴㙤〷㙤㔸ㄶ摢㥣㥣昲㈹㤳㌸〶㡢戱㠱㡢㈷㉦ちㄶ慡慥㙡慢㐷ㅢ㌳昳㉤㈸㥥㕢ㅣ㐸慢㙤挸戳㈶㤳㔲摦㡣㌴㥢㐶愴㔲㠷㜱晥搰〷㐸㌵〱㕣㈴愵㄰㜵㈰㠷挴㡦㉦扣〶㈰㔲㙡ㅥ㤹㑣ㄱ㈰㈱㥥搶ㅥ搸愵ㄷ㘰㐷〸㔸㡤慢㝥㍤㝥戶㠲㔵〴ㄵ㈳て㝣慦攷㔸ㅥ晡㈳搵挴〰慤㥣㐴ㄶ㤰㤱㈳ぢㄱ㡣搸ち昶〲㌲㔱捡㑣㈲户㘵㈷ㄴ㕦㤲慦敡㜰㥢摥搸㤹㉡㍤㙣㠳搵㘳㙥ㅤ昷㍤愰㘷戲愲㌰摣㕤㐴攳ㄸ㉡㤱㌹㕤㜵㔰愳〸㐷㜵戶搱㘸㈸㉣㠲捥㜲昷攱㉣㡡㤰ㅦ扦つ㘲昹㐴戳敢摢摢㑢愸攳摣〱㑣㤰㍦搸㕦㜷㈷㙣㙣扣㤵㍢〶ㄲ㜶㑢戵㜲晡㐲昸㐵㌴攱愴㔳捡㘸㘶攵㔹㌱㌲ㅤ敤慣扥㑥晤捦㤸戵散慣㑢㙣捤攰㜵㡢晥㝦ち㠸㑤昵扦㘲挴㑤㐸昶㜴㤸攱㐳㠶㔱㤳㑤〳㌵㕣ㄱ昸戳ㄱ戲㤱攳戰㈱㔹〶扡㜵㙥ㅥ㥦慢敡㘲㤱攰昰㜶昵户㕦㠸㘸戴愵㙤㍢搴㔵〰㍥捡㈱晤㉥㐴㔰搷昶ㅣ㜴攷㤹㌶晢っ搰扢捦㌸㈵慦收搷散㘰㝣ㅥ愱摥㜱㝥㙤㘶挳收㤹㔲扦摤㉥搴敥挵㑡っ㝦ㅡ㙤捥㥥㠳挰㍥㙢〵敦㔴〴㤲昱㠴慤挵㉦昸攵㔱㈱ㄶ㔴愲㜶昰㙦戳㥦慣㥢ㄵ㝣慣㝡づㅥ捥㠰愸㙤愱散戴㥦戹晤㕥〶㤷づ㌷戳㥥㠰ㄷ挸慡ㄴㄱㄲ㤳㈹㝣昲㔳㕣搷昶㌵㘸慤ㅢ捥捤㘷捤摥㍣㙤㠳㤹摦〲㑤户昶㤶㔶㤶攱㍢昹つ昲愰㜱㤹㄰挷攸㡦攳敦搶摤戲散㙤っ㝣ㅥ㝥挲㑤昷搷㐴〵㑥戳捤㘳摥㠳敡㌱戴㘵㝢挳っ㌳ㅣ㠸愲㕦㡦摢㔰晤〶愶㐴收㐷㍥㤵㉤〱㜴攷攸㤷㌷攲㘸㐵扦㡥昴㙦戱㠷昰愷攸㉥㄰㉣㌶㐳ㄳ换搳愹㘰㤷攳㔸ㅥ㑣挸挳㠳敡搷昰〶慥戱㕥㉢㠷㌸ㅣ㔴攴〰㠲扣昱㉣㐰㤴ㄴて㈰㌲㠳㕦㐶㠳挶っ㉡挰㜶㥦挱㔷㌷㥣〱㑤〷ㄹ㤵ㅢ㜵㡥扦㠵㐸昵ㄸ㌵㍣ㄹ慢〴㔷〹㍣ㄶ㐶ㅡ㘸㤴㐲㤵㤲㉡慢挳ㄱ慦ㅤ㐵ㅥ改敦挳扦㙦ㅤ㝤昳つ愶晦㍣慡㐴㡣愲挸昰愵㠶〶㡡㘲㔴㘶昱㘲㝣ㄶ㜵㘰扢捦攲换ㅢ捤愲㐰〹㕢挰捦戸〶㤰ㅦ㔵㤷昱㐷㘶㜵㍤捣昰愱㘰ㄲ攰㘷慣〳攴㐷ぢ㈴ㅡ晤㌴挶㜳〴㥦㈱㜸㥥攰㘷〸㝥㤶攰〵㠰㝣扡㐰㍡㑡挵ㅢ㐴㝥㤶攰㜳〴㥦㈷昸〲挱捦〱愰㈲㐹㉢ㄵ扦㐸攴捦ㄳ晣〲挱㤷〸扥㑣昰㡢〰昹戴㈲㜹㘵㠰㉦㠶ㄹㄹ㈰㘹捣〱收ぢ〵㤲㐳㘷㌳愴㐱挲㜷㐸㘲搸昱摥㈶㕦㥣搵扥攳慣㔶攷戹㙡攸㌴摥ㄶ㐲㉤㜴昷㜷搵㐵搹ㅥ㉦㈴㈸㍦攲㠹㤳㈷㐳㤷㕤㉡ㅤ㠶挸挰㤳ㄲ㡢㔱慢㔸ㅣ㉥愴昲愲捡摦㝥愵改㐹㐲〱ㄲㄸ㔷㔷㈶慦㑢攵慢㔱攵㠳昸㠰㑣敡愰㘷㥤摥㡡㉡㜳㑦㐸攵搵愸昲㝦ㅣ摣搷愸ㅣ㙤〱摤㜳㠱晣ㅦ㤲㤵慣㥡㘰慦换〹㈶昶㕤昹㈸慡㘷㙣摡〰㐳戶㐶㔳晡㑢搰扢㈲㔶挰㌰慥戱㜸昸戲晢㌴㙥㘵攱昲ちㄴ㠵晥ㅦ㍣㥣挲㙤慤㔹㌳㌰昱攱昶ㅡ挲攴㥥㈱㑦㙣㥣戵捦㜹㐰っ搸愷㝣㥣ぢ换摢㡡㕢㘰搲昴敢愵摥㈴㥣㤰㘰晥㌶搷㈳ち敦愵㜹晢愵㌷〵㈸㈱愱㝥攵㐶㐴㑥摤㘸戲㡦昱㔵㄰〷挲ㅡ㤰ㄹ攳㤷〰㜵〸㘹㌷ㄱ〵㑡㈱ち㑡攳㔷〰昲㝤㡡昲㠷攴捦晥㉡挰㘸昴㝦搵ㄸ㕦ㄳ㔷㑦㕡慤㐴敦㠸㌳㤲昱ㄲㅢ㝣つ愰て㝥㘶㈵㙢㠳㕢ㄴ挶慦〳ㄳ㝢㔷㠶戲散㘳摤㑤㘹㥥㤴愳㉦晤ㄱ晦㙣昹愴晦ㄸ㍥搱㕦㘷挷㝤昸㍦㤴㘴挴敥敦㑦晦㜴㙦㝤㤱扦㌲攸㑡㝥㈵㑣攸㙤昴挳㜵㙤㥡愰散㔱㜴愴愲挴收㜴搵ㄲ晡攷㍢㘸搱て㉡捡㜰㐱㥢㈱㝡㡦愰㈹搵〵㝤㌹㐴敦ㄵ㌴攵扣愰ㄷ㐳昴㠳㠲愶攴ㄷ昴愷㐳昴㐳㠲扥ㄱ愱㍦ㄵ愲昵㐸㍥ㅢ愱㥦〹搱㝡㈴㥦㡢搰㥦っ搱㝡㈴㔴ㅢ搲昷搳㈱㕡㡦㠴㡡㐴搰㑦㠵㘸㍤ㄲ慡ㄶ㐱㝦㈲㐴敢㤱㔰挳〸晡㔲㠸搶㈳愱捥ㄱ昴挵㄰慤㐷㐲㉤㈴攸ぢ㈱㕡㡦㠴㝡㐹搰ぢ㈱㕡㡦㠴㥡㑡搰昳㈱㕡㡦㠴扡㑢搰攷㐳戴㡣愴㐰ㄵ㈶摣晤㉤㘴昲㝤ㄹ㙥㠶㉤敦㑡搲戶㌷敢捥昸㝤㌴㔵摣㙡散挳昸㜶㤸攱㠳攲㍥㤳㤱㥥つ㐷㝡㤴㔵晥㠰㐵摣㐶ㅣ愱昱㠷㝣攲敥㤱收㝦㠴っ㔹㥦㍦挵㠹㐸昳挷攳捤㕦㘵㤱扣ㄴㄹ攳㍢〰㔱㉡昰攵戲〴慦㈱㤳敦ㅢ攵㥢㉥攱㤷扥慥㑡㤷换㤷㉦晦㘸戴㝦晣捥晥㑦㍣㌶晣搲㕢㝦晢挳慦晣攰㤹㈳晦晥攳㤷㕦晥挱扦㝥攵㡤ㅦ扦扥㜴攴慦扦昱㡤敦㍦晥㥢㙦晣㜰㤷晤昵昴㉢㍦㍡晤昵攷㈷慦㍣㝦搵扥昰攱ㄳ捦㍦昵散㤳㤳㜳户㑤昴昵つっ㍣㌰昶㌷㜷㍣㔸戸㜱昵㍢敡捦晥㜱慦慢㘴昰㜸㠱昱㕤〰㤹㌲晥ㄶ㌸〹㙡ㄷ攳㡦〹㕥〷挸㡦㡣㜲搸敦收㔸ち㕣〹慤搳ㄴ愷㉦ぢ㌷ㄳ㉥摣㌴㄰㌹㤵㉡㜰㤸㌲戲㍦㐵〶〶ㅡ〷㈸ㄵ愷挲㡡㔲昸㍤㘰ㄵ㠷㉤㐵㐷㕢晢挸戰㘹挲㜵收愶戴捦愱愲㈱慥つ捡晤㑥昷挶㙤攱挵㡦㠹㐶㥤㕤つ㑣挳慢㌱搲㐰㠹愳攲㔶ㅤㅢ攰〶㌲㐴敡㥥敥攲㤳㙥㤳㐸㌱攵搴㤶㉢㠶捥㡤㍦㐷攷㔹晣㤴搱挸挹愳晡ㅥ㤰挲攰㝦㠱㑣㠶㠵㕢攸㥡㉣搴攳㌶晣㍥㥡㉡扥㑢昶搱㕦㈲挳㤴挶㑦㐹ㄱ㌲挶㕦ㄱㄵ愶〲慢㘸㝥㈹㐴昸愱晦〱㠹搵挱愷</t>
  </si>
  <si>
    <t xml:space="preserve">Process Lead Time  </t>
  </si>
  <si>
    <t>Process Scheduling Table</t>
  </si>
  <si>
    <t>Process Capability Table</t>
  </si>
  <si>
    <t>Process Cost Table</t>
  </si>
  <si>
    <t>Learn about model</t>
  </si>
  <si>
    <r>
      <t xml:space="preserve">Keywords: </t>
    </r>
    <r>
      <rPr>
        <sz val="11"/>
        <rFont val="Calibri"/>
        <family val="2"/>
        <scheme val="minor"/>
      </rPr>
      <t>value stream mapping, lean, process simulation, simulation, dashboard, critical path, Crystal Ball functions, VBA macros</t>
    </r>
  </si>
  <si>
    <r>
      <t>Copyright Information</t>
    </r>
    <r>
      <rPr>
        <sz val="11"/>
        <rFont val="Calibri"/>
        <family val="2"/>
        <scheme val="minor"/>
      </rPr>
      <t xml:space="preserve">
Copyright © 2005, 2015, Oracle and/or its affiliates. All rights reserved.
Oracle is a registered trademark of Oracle Corporation and/or its affiliates. Other names
may be trademarks of their respective owners..</t>
    </r>
  </si>
  <si>
    <t>Other Tables</t>
  </si>
  <si>
    <t>㜸〱敤扤㜷㝣ㅣ搵昵㌶慥㉢㑢㘳捤扡㘸㡤改㈵挸㘰㘳挰㠵敤〵㌰戲㉣㔷㌰㉥戸搰ㄱ戳扢戳戶㙣ㄵ愳攲㐲㈷ㄴ㐳攸㌵㄰㝡㌵㥤㠴ㄶ〸㝣挱㌶愱〵㐲〹㤰㠴昰搲㈱㠴㐰㈸〱㐲㠷摦昳㥣㈹㍢扢㍢㉢ㄹ扥㜹㍦㍦晥㜸搷摡攳戹攷㍣攷㤶攷摥戹㜳㘷收散㑣㤵慡慡慡晡ㅥㅦ晥捦㑦つ㌷戶㥥户慡扢挷㙣ㅦ摦摣搹搶㘶㘶㝢㕡㍢㍢扡挷㌷㜵㜵ㄹ慢㘶戶㜶昷っ〰㐰㙢㘹㠵扤扢戶愵扢昵㜰戳慥㘵戹搹搵つ㔰㙤㔵㔵㕤㥤㕥つ晢㈶昶㌷攸㈴㜴㝡改㌵ㄴ㐰㔵改ㅡ挵㐰㡡㍡ち㥤㈲㐰㌱㠸㘲㌰挵㄰㡡愱ㄴ昵ㄴ㐱㡡㘱ㄴㅢ㔱っ愷搸㤸㠲㘵改㥢㔲㙣〶㌱㜸㜳㠸昹捤㤳㘶㘷㤶愰收昳㝡㍡扢捣戱つぢ慤晡㑤〸㠷挷㠷挷㐷㔳搱攸昸搰搸㠶收摥戶㥥摥㉥㜳㐲㠷搹摢搳㘵戴㡤㙤㤸搳㥢㘹㙢捤敥㘵慥㥡摦戹搴散㤸㘰㘶㐲搱㡣ㄱ㑢㠵㘳昱㜸㍥㥤㑥つ摥〲㌹捦㙡㥥㌴愷换捣㜷晦户昲摣㤲㜹捥㙥㥥㌴㝥㤶搹昳摦捡㜳㉢攴㠹㉣㈷㜷戶ㅢ慤ㅤ晦愵㑣㙢搹㝦昱挹㘶戶㤵ㅤ㙤㥡㕤慤ㅤ㡢挶愳摡㐵㐴㈳㤵ㅣ摦搴摤摤摢扥㡣㘳愶搹㙣㙢摢挷捣㑢〷户㑦敥敥㤹㘳㜴戵㜷て㙥㈷㝦㘶㤷搹㤱㌵扢㠷戶㑦㔹㤹㌵摢㙣㘰㜷㕤晢㐲愳㙢㤶搱㙥搶㜰愳扥摤敡挳ㄹ㌹戳愳愷戵㘷搵㤰昶〵摤收㍥㐶挷㈲㤳㤰摡昶㘹扤慤㌹㔵㔳㠳扦慡〱愳晤㙡㈶ㅤ㠵晡戴㌷㉦㌶扡㝡㈴挵㉥っ晢㘱㍤挳㐵㕡㔱㔴㉦づ愹㠶ㄲ㉦昶搹扣搶昶扤捣慥づ戳㡤㠵戰㈷挷㤴㠰㠴㈰慢ㅦ㕣愶㥣收戰㤷搴㈰㝢㐷㘳㕢㔸㡡戶㌵㐴㜰昲晥㘶昷慣捥戱㜳扡㍡㌳ㄳ㐲攳㐳ㄱ㝤ㅢ㘸昵㥦搱扥㉤挴昰〹摢㑤〶㠵搹㥥㠶㜱つ摢敤搰㌰戲㜹㘴㌸愲㌷㄰㌲〲㐲搵扣㠲摤搹㥢㌱㜷愹敡ㄶ愳扡㈵㔳摤㤲慤㙥挹㔵户㤸搵㉤昹敡㤶㐵搵㉤㡢慢㕢㕡慢㕢㤶㔴户㉣〵挶昹搴つㅣ㔸㙤㝦㙥㘸㌹㌳㜸攵搶摦㑣㌹㙦㤳改挹〷㐶㉤戹㔷㜱て㤶〹㘰㝢㙣㙣㍦扦慢ㄵ晤搱摢㘶㜴㡤摤扢戵㘳㐲㜸散捣搶愵㘶㕢慢搹摤㌳㈱㍥㜶㙦㘳攵㠴㜰㐸ㅦ〹愰㍥ち㐲摢〱㘲戳〹摢㌵慦捡戶㤹昳㕢摢㑤㔶扦挱慡㝦㐸ㅦ㑤搸㡥㄰㑡晤〵昵㘷ㅢ㙥摤收昵昰ㄳ愳捥㤹戹㝡攱㍤愹㑦㥦㜸攸㙢挵㤹㐳ち摦ㄹㅢ㘳㑢ち〷㔱摥昲挹㥢㔴㠱ㅢ㜱㝤っ戳ㅦぢ愱㡤㠳〸㑥搸㙥㘱搳愸㐲昹〹㝤㍣敤扢㐰㈸昵㡣㕤晣㐹て㙣㜷㜶敦戰敦愷摤昵捣㈹攳敡晦晤摣㘰挵㌹㑢㡡て㌳㡢攲㑥㐲て㐴㤸㐵ㄴ㐲㡢㐱昸㜴㔲㕡㡦ㄳ㤲㠰㔰敡㜱扢㤴挶㐷㡦㍢晦摢㑢㜲㔳捥㕡扤摤㕦㡦㍡㍡摤愶㌸㈹㑡㈹㈹㙣㤴㌵搲挳㌰ㅡㄶ㐲㤳㐹戳㙣㐶昴㌴戳摦ㄵ㐲摢つ愲戴㤱㐹㝤㜷摡㈷㐰㈸戵摥㉥晥㥤㌳摢㘳搳ㄶ扣㍢敢散搷㝥㍤㌴㝤敦摢〷㉡敥慤㔲㝣㈳戳㈸㙢攴㐴㘸昵㈶〸㙤ㄲ㠴㑦㈳挳㝡㌳㈱㤳㈱㤴扡捦㉥攵㤵敦昷㌸敢戲㑤慢㘶ㅣ扢攰挱㡦づ㔸戵换攸㕡捥昷㔱扦㥤愵㜴㍦㥣㡡昹㍢㙢㜴昷搸㔳〴挹昹敦捥㈰晤㑦㈰㔳扢戲晦昷㈷㄰ㄴ昲㕦㤹㐰昴愹㘴㝦ㅡ㠴㌶ㅤ㈲㌰扦戳挷㘸㙢㘸敥散敥搱㘷搰戲㈷㠴㔲㜷搹晤搲㤵搹㝦挰㥡㜱捦㌴㥤昱搰戳搹㉢摦㌴づ㔱㍣〴㑢敦捦挴㐶㐹敦㠷攲晡摥捣㘲ㄶ㠴㌶ㅢ挲愷昷㔳晡ㅣ㐲收㐲㈸㜵慢㕤捡ㅤ扢挷㑦㜹㘲挸㤱㌳敦捤㙤昶昴ㄷ挳愳户㉢㑥㐸㔲捡㍣㙣散㕣戶ㅦ㠷攳㐵愳㍣㘲㑤㈵愱昱㔱㝤㍥㌳㕦〰愱㉤㠴搸挴㥤〷㍤扢㜲㕡摦㤷愰晤㈰㤴㕡㘳搷攰慥㔳愷ㅦ㜱搰㝦㑥㥢㜸㐹挷㕢て扦摤昸㑣㐸㜱㠱㈱㌵㌸〰ㅢ愵敤㑣改〷㌲㡢㠳㈰戴㠳㈱㝣摡㤹搰て㈱愴〵㐲愹㉢散㔲扥昹愰昹ㄳ㜵攰㜵㑤扦戹晣挳て㜷㐸晣㝤戹攲ち㐶㑡㌱戰㔱㕦戲㉦改ㄹ收㤰㠵搰㜲㄰攵㠵㐴挲扡㐹㐸ㅥ㐲愹㡢散㐲捥扡㔸㑢ㅣ㍣㜲攱昴换昳挹㔷㜷㌷ㅥ慢㔱㕣㈱㐹㈱㡢戱㔱㔶㐸㉢㜳㔸〲愱㜱㠶㉦㉦㈴ㅣ搳摢〸㘹㠷㔰敡ㅣ扢㤰㙤摦昹捦㈳㘷扤昰挴挴攳㕥㙦晡㙣敤㝤㥦ㅦ愸戸〲㤳㐲㍡戱㌱慥慣挷㐲愱攲㉥㉢㑣㑢攱戸扥㡣昹ㅦ〶愱㜵㐱っ㉢㤹㝡挳㐹扤㥢㠰ㅥ〸愵㑥戵㉢㌰敦㠴搳㙦晤敥挳㡤㈶㥥昷搵㠲㈹ㄷ摦㝥昶㕦ㄴ㔷㝦㔲㠱攵搸㈸改㌰㑣敦㉢㤸挵㑡〸㙤ㄵ挴㐶敥挰㜰づ㤰㘹晤㜰㈲㡥㠰㔰敡〴扢㤰㔷㉦敢㝤攳㤲㕦㑣㥢㜸攲摢㘷㌶㌵慣㝣㜰㈷挵搵愵ㄴ㜲ㄴ㌶㑡ち挱攸㍦㥡㔹ㅣ〳愱ㅤぢ㔱㕥㐸㔲㍦㡥㠸㥦㐳㈸㜵㤴㕤挸戳㝦㕥ㄴ晤昶搶㔱㝢㥦㜴㘰散戲㍤ㅦ㙦㍤㔴㜱昵㉡㠵㥣㠰㡤ㅤ㑢愹㉣ㅡ昹㠵㈳㔸㕣㍦㤱㔹㥦〴愱慤㠶㈸㘵ㄱ㘳攵㘴〲㑥㠱㔰㙡戹㕤昶换昷散昹挵㥢㔵敦㌷㕦昶昹挶㉢㙦㕡㝣搲㈰挵㐵戳㤴㝤㉡㌶㑡挶㑡㐴㍦㡤㌹㥣づ愱㥤〱攱㌳㔶㐲晡㤹㠴㥣〵愱㔴愷㕤挸搲㝢㡦扥敦户扦摢㝥搶つ㔷晣㙣昱愱ㅢ摦戲慢攲愲㕣ち㌹〷ㅢ㈵㉣㘲㌸㥣换㉣捥㠳搰捥㠷昰㈹㈵慥㕦㐰挸㉦㈱㤴㕡㙣㤷昲昶㝢㜱扤攱愹昳愷㥦㥤㥥户㘲㑤㘲摥ㅡ挵㔵扦㤴㜲ㄱ㌶㝥搰㠸㡣攸扦㘲晥ㄷ㐳㘸㤷㐰㤴㜲ㄹ㑥敢㤷ㄲ㜰ㄹ㠴㔲㠶㕤㠱敦昶㌸㘴㡦敡㔱㙦捥戸昹昵扡㔱摢㕦ㅤ㡦慡㑤㘱㤶ち㕣㠱㡤㤲㘶㠶㘲晡㤵搰敡㔷㐱㘸㔷㐳昸㌴㌳愹㕦㐳挸戵㄰㑡ㅤ㘰㤷昲攲挱㐳户㝦㙥愷㐳㈶慦戹㝣㤷ぢ㥢㘷捥晡扤攲㈹㡤㤴戲〶ㅢ㈵愵㠰捣敢㤹挵つ㄰摡㡤㄰攵愵㐴㐲晡㑤㠴摣っ愱搴㍣扢㤴㐵敦㥥戸攴戹㝢㜷㥣㜲昵慤㔵㥦晣㘹㝥搷愱㠳㙦㠵㜹慥扤ㄴ㥤摣㘵慣挰攲扥㜰摥㄰ㄹ㡦攵挵㠶㥣㌰攱㝣㈹ㅦ捦㈷昳攱㜰㉥ㅥ㌲愲㐶敤㌶挸㜶㐳㔷收摣挱〷攷昷㙤敤挸㜵慥㤰愵晡搶㤳㡣㙥戳㜰攰ㅤ㘳摢㈶㜵昶㜶攴扡户昲㌷捥敢㌱㝡捣㉤㑢㙤㠵㑣捡摣收攱㐴挶散㤶昲㝥㔶敡戶搰㘸敢㌵㥢㔶戶㕡收㙤㑡捣㌸㡤改捣㔴戶㑥敤㌲て㜳慤㘵㌵㙡挲㌹昵㜲挹扢慣㤵㤶挹慡㔷㐳昳攲捥㙥戳㐳慡㌷愶㝤㑥㙢㜶愹搹㌵捦攴ㄹ戹㤹㤳愶㙥㐲㤳㝤㉥㌵㘶㜶〷ㅡ㡡戳愳摣㜶㕥㙤㝥捡捡ㅥ戳㈳㘷收㔰摦㘵㘶㔷捦慡昹㐶愶捤摣戴〸㘲㤵〹挳ㄶ㐵敡愹㥤搹摥敥收捥㡥㥥慥捥戶㘲㑢㔳㙥戹㠱昳户摣摥㥤㌹ㄳ愷㕦㌵晣㔴愹慡〱〳㤴慡摡搹㙦㔹挷㝣扢挷㑢㐷㜸扡㤸㘷㘳㥢ㄷて扢昱晢愰㜵㘸㐵㥢挹㌱㔹㍤戲㥦捣㈴㕦㘶戳㔳㘵愰愷㑤扣㝣㐱昴㡥㤵搱㔲㐷户攷晥敦㠲慢慢㠷摢慤㥦戲ㅣ攷戸搳㡤㡥㕣㥢搹搵攷挵ㄷ挵ㅡ改户㐱搴捥挱摥㕣㤱扤ㅡ㈰搴㑡戵慡㜶㐵㙢慥㘷戱戶搸㙣㕤戴㤸㠷㔸㕣愰愹慢㈳戵㘵ㅦ晤㌷㔰改户㔳摣〱ㄱ〸㔴㘹㜷ㄲ愴〵昴扢慣㜴㉤捦㐰㝦昸搹㜳㌵扣㜴㌹㕢挷愵㤵敥摡㜶㉣改扢〷っ昰㙢攵㜴愳㝢㜱て㠷㘷㥦㐶㥥㈷敢㜷㔳晣ㄶ愲戶〱愲摦㤳㜳慥㕦㙡㜸つ㘲㐸㍢㑥㥤つ㕣昹㤱扤㕢ㄹ戵敤搶挵㠴挹㘶㜷㔶攷㔵㠷ㄹ搸㔷㔶㙡搸挲捥㍦戸㥤愳摦㕣搹㌳搹攸㌱〶戶攳晡〵㝡㐹〷㘸㡣㜸㔹㕢昴ㅣ㈲㍡挷㍢㘰愷㤰㐳㔰㌶㍤戹っㄲ㠵㤵ㄳ㜶ㅣ散㉦㔵〳㙣搹㜷㈳㔰㜷㥥㈰㘸愵〳扤昸㍡〴㉥㡦攴愶㤹ㅤ昳㔷㉤㌳扢〹慦搳晡愴戲㜴昷㘲㘶戳戳㤹〵㍤慤㙤摤攳㔱搳㘹㕤㥤扤换晥㥢昹㌰㉦晤ㅥ〸攷㔳㍢つ愳㜸挳摢〴扡慡〶㉥㘷摦戴戴㔴搵㌱㌷㙡㜴㕥ㄵ搱㌹㕡㤱搹昷昸㑦㍥晡晤昸㉦搰㤷慤㜶〴㄰㍦攴㥡つ㉦㐰っ㙥〷㐳昳扢㑣戹ち㔵㈷〹戰㍤愴㝤摦捥慥愵㤹捥捥愵ㅣ㑦㐳㈵搵扤搸㌴㝢㜸㘵㘷㤰㝤㈵㑢慥㔸㈹㌵㘰㐰搱搵ㄹ捦㈵愰慤㤰扦戶ㄶ㘲㐸㔳㕢㕢㠳㤳㘳户戶づ慡〱戸挶愴慤挷挶㌰ㄹ㥢つ昳㝡扡㑣愳㝤晣捡戶敥㜶㌵〱捤收ㄵ㤳扦㍦晥攱挲㙦㈷㍦㌴昵摥愹愳挶散昷㘰慣㔵敤㙥ㅢ捡慥攳㡣㐴㐶㍣㍣敢て㐳愸㕤〱攳㜴㠲敤攲㡦晥㈸搲晡㘳ㄴ㡦㐳㘰㔲㄰㥡㌱㈷㍣㘱㈵搵㈸晣捦㜹㐱㝦㤲攲㡦㄰㙡㌴㐴〳㔳㑦㐱㌸ㅦㄵ㐶晥散㙣改戰ㅤ愰㉥敦戰㍦㐱ㅢ搰晢戰愹ㅤ㠱㘰愷改㙢㈹㐸㡢㑥㑡搴㘸㘴散㑢挰づ戶愱散㕡搲ㄸ戸〹〱㉦搱㝦㈴㘰晥〴扣捣㌲㕥愱㜸ㄵ挲㐳挰敢㔶㔲㡤挵晦㐲挰ㅢ〴扤〹愱挶㐳㌴㌰昵ㄶ㠴昳㔱㕢愱っ㤷㠰㜱㔰㤷ㄳ昰て㘸〳㝡ㅦ㌶戵ぢ㄰㝥〴っ慢㐴㐰搰㌶㤴㕤捤㡡㈰㈷㈱攰㘳㙣愸愱ㄵ〹昸〴㘶晤㔳㡡捦㈰㍣〴㝣㙥㈵㔵ㄴ晦ぢ〱㕦㄰昴㈵㠴㡡㐳㌴㌰昵ㄵ㠴昳㔱戵㕥〲㘲㔰㤷ㄳ昰ㅤ戴〱扤て㥢㑡〰攱㐷挰搷摦㔵ㄸ〱㕦搹㠶戲ぢ㙤㘹攴㈴〴っ㔴愸昲ㄷ㠰昹㡦〰ㅤ㘶㍤㐰㌱〸挲㐳挰㄰㉢愹㜶㐵㐶㐲挰㔰㠲敡㈱ㄴ慦戴㌵攰慢〷㤱㜲㍥敡㐳㤴攱㡥㠰摤㘸㉥㥢戳㌶〶㍥愰昷㘱㔳ㄳ攰㌷㠲扥㙢㈹搶㔱挸㉥昰㜶㈵〲摥戲つ㘵㤷晡㈶挲㔷〸搸〶㠵慡㌷㉡ㄲ戰㉤捣㝡〳挵〸〸て〱摢㕢㐹搵㠴㡣㠴㠰㤱〴㡤㠲㔰捤㔰㌵攰慢敦㠰㤴昳㔱㉦㝡〹㤸㐴㜳ㄹ〱㍢〳ㅦ搰晢戰愹挹昰ㅢ㐱摦戵ㄴ敢㈸㠴㠰愷㉢ㄱ昰㤴㙤㈸扢ち㌹ㄵ扥㝤㥣㥦ㄴ㕤昸摢ㄸ搸愲昳㤳挱昹愹慤㙤㍤㘶㤷㉣㐱敢昳昸捦扡㌷㈲改㈱㕣㜶㜷ㄹ㔹敢慥挳挶昹㘶慣扣㜱㌳愶㘷㔵攱㕣愴㙣攵㙦㉤㡣晦摦昹捤㑦敥晣㐶捥㙥㡡捥㜱晡㌸㝦挰愰㈹㌹挳改ㅢ散ㄹ㐴㕣摡晢慥㐶㘴㐸㡤㐷捥挵㠳㡣昸搲愵㤳摣㜱㜲昱摥㐱㐸㜴愸昲㜹て〷㝢昹㈰愵㔳挵㜳㡣晦㜷㠶收㜷㝢摣㍡㐳㡢㘲ㅡ搳㘳ㄴ㜱㡡〴㐵ㄲ㐲㍤㘶㑦戳扣㝣挴挹㜷㠷敡慡慡㌳㘱愸搲搳挴散㑡戱ㅢ〴愶㔹㙤㜷晣㍦ㄸㅤ挳㡢〹扤戸㘱扡ち敢慥〹搰㘹㝢㄰㈰㔳㐹〳㤷晡〱愵愶㈱〷㤹㠲ㅢ㘱搲㈷搲戱〹㘲搶㜴戳つ㘷晤晦慤摢搵戵㌳㔰㑣摦攷㈹愸敥㐶〰㙤摡㍥㙦㔵㐷㜶㜱㔷㘷〷〲〴㜸晡搴㤴挵晤摥㙥㘵㘸敤㌳㍢㥢㝢㝢戴昶改慤昸㙦㜰晢㍥收㌲搳攸㘹挶㔵ㅤ㥣㥢捤挴㥤ㅥ㔹摤捥挸慤晣晦昳捣慣慡〶㑤愸㔲㈰搰㌹㌹㔳愵㝢戱㜵㡥㘴搳㍢㝥㜲㈷㘲〷㑣〹㤱㈰敤㥡㠶戳散㥦攰愹㔷㤵㍥〹戵扢晣攳ㅢ㜷ㅢ㜵改㙤摦摢晦ㅦ㠳㘵㤹㝣戴㘶ㄸ扤㜷㡣捡づ捥㔳〸搰〹㉢㍦㜰㡢㑤昱晥搲〸㝣攵攰慣敤〹攴〰㡣〸敢〰㝤㘷愵〳昴ㅤ戶愱散㜶搴摥挸㐹㔶㈸戳㤰㤱晡㡤扤敢㐰㔹晣搱攷戰㐶㜳㈹昶㠱昰慣㔰收㕢㐹㌵ぢづ戲㝢㉣㈰㘸㈱㠴㥡〳㔵〳扥晡扥㐸㌹ㅦ㜵㍤捡㜰㤷㘸戳㘹㉥㈳攱㐰攰〳㝡ㅦ㌶㌵ㄷ㝥㈳攸扢㤶㘲ㅤ㠵慣㔰㉥慢㐴挰愵戶愱散㑥搹㝣昸ち〱㌹ㄴ慡㉥慥㐸㐰ㅥ㘶㝤ㄱ挵㘲〸て〱㑢慣愴㕡㠰㡣㠴㠰愵〴戵㐱愸㝤愱㙡挰㔷㙦㐷捡昹愸㜳扣〴㉣愴戹㡣㠰挳㠰て攸㝤搸搴㝥昰ㅢ㐱摦戵ㄴ敢㈸㠴㠰㤳㉢ㄱ戰摡㌶㤴摤愸㍢㄰扥㐲挰攱㈸㔴㥤㔸㤱㠰㈳㘱搶㡦愲㌸ㅡ挲㐳挰戱㔶㔲昱㙥㥥㄰㜰ㅣ㐱㍦㠷㔰㠷㐰搵㠰慦㝥㍣㔲捥㐷ㅤ改㈵攰㘰㥡换〸㔸つ㝣㐰敦挳愶㕡攰㌷㠲扥㙢㈹搶㔱〸〱㕤㤵〸㌸捣㌶㤴摤㐳捣挰㔷〸㌸ぢ㠵慡捥㡡〴㥣〳戳㝥㉥挵㜹㄰ㅥ〲㉥戰㤲㉡㡢㡣㠴㠰㕦ㄲ㜴㈱㠴㌲愱㙡挰㔷扦〸㈹攷愳昲㕥〲㜲㌴㤷ㄱ㜰㈹昰〱扤て㥢捡挳㙦〴㝤搷㔲慣愳㄰〲づ慡㐴挰㠱戶愱散晥㘶㉢㝣㠵㠰敢㔰愸摡扦㈲〱搷挳慣摦㐰㜱㈳㠴㠷㠰㥢慤愴攲㕤㔰㈱攰ㄶ㠲㙥㠵㔰㙤㔰㌵攰慢摦㠶㤴昳㔱㜳扣〴㉣愵戹㡣㠰㍢㠰て攸㝤搸㔴㍢晣㐶搰㜷㉤挵㍡ち㈱㘰㙡㈵〲愶搸㠶戲㝢慦换攰㉢〴摣㡦㐲㔵㜳㐵〲ㅥ㠰㔹㝦㤰㘲㉤㠴㠷㠰昵㔶㔲ㅤ㠶㡣㠴㠰㠷〸晡㍤㠴敡㠶慡〱㕦晤㘱愴㥣㡦摡搵㑢㐰ㄷ捤㘵〴㍣づ㝣㐰敦挳愶㝡攰㌷㠲扥㙢㈹搶㔱〸〱愱㑡〴散㘲ㅢ捡敥晤慥㠰慦㄰昰㈷ㄴ慡挶㔵㈴攰㜹㤸昵ㄷ㈸晥っ攱㈱攰慦㔶㔲慤㐴㐶㐲挰㡢〴晤つ㐲ㅤづ㔵〳扥晡㑢㐸㌹ㅦ㌵搲㑢挰㉡㥡换〸㜸ㄵ昸㠰摥㠷㑤ㅤ〱扦ㄱ昴㕤㑢戱㡥㐲〸搸戲ㄲ〱㕢搸㠶戲晢搲㐷挳㔷〸昸〷ち㔵㥢㔵㈴攰㥦㌰敢敦㔱扣て攱㈱攰〳㉢愹㡥㐱㐶㐲挰㠷〴㝤〴愱㡥㠳慡〱㕦晤㘳愴㥣㡦ㅡ敡㈵攰㔸愸换〹昸っ昸㠰摥㠷㑤晤ㅣ㝥㈳攸扢㤶㘲ㅤ㠵㄰㔰㔳㠹㠰〱戶愱散㥥昹㠹昰ㄵ〲扥㐳愱㑡㔵㈴愰慡ㅡ㘵㈸㡡㙡〸て〱㌵㔶㔲㥤㠴㡣㠴㠰㕡㠲㌴〸㜵㌲㔴つ昸敡〳㤱㜲㍥敡㡢㙦㍤敢㠰搵㌴㤷㡤㠰㐱捣㔳敦挳愶㑥㠱㥦ㅦ〱ㅦ㈰昳㔷戰攴㉡扢㕣晢㉦摢㔰㜶攳晥㌴攴㈴〴㙣捣㉡扦〷㤸晦戵慡㑤㘱搶㌷愳搸㥣戵㉢㕣慥摤搲㑡慡搳㤱㤱㄰戰ㄵ㐱㕢㐳愸㌳愱㙡挰㔷摦〶㈹攷愳摥昰ㄲ㜰〶捤㘵〴㡣㘰㥥㝡ㅦ㌶挵㐸〱㍦〲晥㕡㠹㠰扦搸㠶戲愰㠲㜳㤱㤳㄰戰㌳慢晣㐲㐵〲挶挲慣㡦愳ㄸ捦摡ㄵ〸〸㔹㐹㜵ㅥ㌲ㄲ〲挲〴㐵㈰搴〵㔰㌵攰慢㐷㤱㜲㍥敡㐹㉦〱攷搳㕣㐶㐰㤲㜹敡㝤搸搴㉦攱攷㐷挰晡㑡〴慣戳つ㘵昱づ扦㐲㑥㐲挰㐴㔶昹挱㡡〴㑣㠲㔹㙦愶㤸捣摡ㄵ〸㤸㙡㈵搵挵挸㐸〸㤸㐶搰㜴〸㜵㈹㔴つ昸敡㌳㤰㜲㍥敡㙥㉦〱っ㤴㈸㈷㘰㙦收愹昷㘱㔳㤷挱捦㡦㠰㥢㉢ㄱ㜰㤳㙤㈸㡢户戸ㄲ㌹〹〱ぢ㔹攵ㅢ㉡ㄲ戰ㅦ捣晡晥ㄴ〷戰㜶〵〲づ戲㤲敡㉡㘴㈴〴ㅣ㑣搰㈱㄰敡ㅡ愸ㅡ昰搵㕢㤰㜲㍥敡ち㉦〱㔷搳㕣㌶〲戲挰〷昴㍥㙣敡㕡昸昹ㄱ㜰㐱㈵〲捥户つ㘵愱㈰搷㈳㈷㈱愰㡤㔵㍥户㈲〱ㅤ㌰敢㥤ㄴ换㔸扢〲〱㕤㔶㔲摤㠰㡣㠴㠰㙥㠲㝡㈰搴㑤㔰㌵攰慢昷㈲攵㝣搴㉦扣〴㌰挰愴㥣㠰㔵捣㔳敦挳愶㙥㠶㥦ㅦ〱挷㔶㈲攰ㄸ摢㔰ㅡ愵㔲㝢ㅢ㜲晡〱搱〵㠳㔸攱晣挲㔶㜳〵慦㤱っ捤㈳㝡扣戹户扢愷㔳敥摤づ挹㑦敥㥣搵搹㌳戹戵㝢㔹㥢戱㙡㜸摥摥搸㜷戱搹㠱挸㡡㉥〴㔸㤴攸㍡㤷㉤㌳㜳㝡㝥㕥㘷㙦㔷搶㥣㌱昹愷㄰㜹㠱昶愱敢㈴攸愲㕡攱昳攳㠲〹慡攰㠹㔱㠲㑦㔵㉤㐳〰㑡敦〹㝢慥㈸ㄶ㉥㕥㌳㕡愷扥挰攸晣搶㥥㌶㜳㔰㕥散戲㕤㤷〷㡢〸㔷挹つ捣捦㕦㡣㝢愵㤳㠷攴愷㜵戵收摡㕡㍢㑣㜶〶㉥㠸㌳㈴㝦愶戹〸愱㈹㜳㍡扢㕢昹㜳㠱㈱昹昹㕤㐶㐷昷㌲摥㘵捦慥摡愸㈸㈵ㄷ㠵㙡昳㤳㕡㍢扡㔱㡣昴㈲户敢昳昳ㄶ㜷慥挰慦㔴㝡摢㍢愶ㄹ换扡㝦ㄲ扤愲搸㉤昲㤱慥㔱搵慡扡㕡搵㔵搷晤搸晥搱㝥㡥㝤㙣㌸㝥ㄲ㌰㙥㔶㘷〳挶㘹㑦㔷㙢愶㤷㠴㐹ㄹ扣㡤㔷㐳㈱㝤㔸㔵㝢㍢戶晡戸㈸捣㑢挳㜶挰㄰㠳㘱㔸搷愲㜸㙡摦戸っ昷愷㍦扣ㅣ慣ㅦ㡦敡っ㍥〱㘲捦㘹ぢ㘶ㄴ挲挴晥㔷扦慤愹扤〳㌹㤷㕥㘲㉢ㅤ㜹㙥㔴捥㈶〰て戵㠶㄰㜵ㅣ㔱搸㌳㌱ㄲ㤸㉡ㅤ㤶㠱扣㘰㌸㐲㠷ㄶ㌶愷㈲戰㘳㜰㝥愶㤱㌱摢㄰㡦搲㙥昴っ戵ㄲ扣㐰摥㙥戴㜵摢戶收捥昶㜶㠳㐳㡥挳㜵㕥搶㘸㌳敢昲㑤扤㍤㥤昸戵㠳㥥㠷㤰㜱㘹慢㡣㤵㔰ㄹ㉢㐵㌵㌸扦て攳搴㘴㥢㜹㜵㉥㌲扡㕡㝢ㄶ户户㘶敢㤸㘰㉣搹㑦㘲慣㘲晥㤰㑢㥤㈰㤴ㅦ㘷㉥㈹扤挴㙢㕤散㐴㜷㡦挷扤つ㔲挷敥挷㠸慥㔶ㅡ晥愹ㅦㄹ挶㠴㤹㐷づ㈸晡㐹挸㡤ぢ㜲㤹㡡愴㈲ㅦ㝤㙦敦㐵ㅦㅤ㠳つ㤹㥣搴㕤〴攰慢慦〶㤴ㅢ晣搶摣つ搱㘷㡣换㐰〰〲㌳㍢㡤摣㔴摣㡥敢散ㅡ㘸晦ㄶ慣づ㕤换愹愶㉢挸愸愳㘶〴戲㈱㐰㙥㜹㙢捥散慡愳㘲ㅥ㉥㕢搷㌰㕥㐹戳晡㤰摣㔴搵搶づ慡昳㉢㙢㠶㤳搷㐸㍢㤶挳晢扢戹ㄹ㘵昹扦㍦㌷搵戸㌵㙢ㄵ㤰㐳搴挹㘸㡥㝥ち摢昴㕢㈸搹㥥ㄲ挰㉦〸㌸ㄵ愲㤶㤱㌳愵㝤㔳ㅣ〰㠴㌰㈱ㅤ愰ㅡ昹ㄵㄵ㐳㤳敡㄰挶㈳㌱㑤戵搲㤰㐱㥥㔸㈴捤ち㐳慡㜳㝥㥡愵捤挳㈸㌷㜳〱㙢㝥攵㐵㝢ㅣㄹ慡慡慢㙢搰搵㕡改㝤搲戲㘲㤱㔹晢㍣㔳㠲㤴搴㤶愸㠲㜶ㅡ㙡扣つ㜷ㄶ攴摦攲㡤挸㜶㝥戳戴㕤搹㜲㈲㠰搳〹㜸㔵〵搴晤㤰づㄵ摣摤㙤慥捥㈴ㄵ㘷㐱愸㠷愱攴㠲挰㜳昸㔲㡦㈲挹㐳㔸㤵㜶㌶㈰㥢ㄵ㘲慢晢㥤㌶搵㘳昰攲搴愹㥦挳捣ㅦ挷ㄶ㘷㈴㜷㠴㥥〷㙤晦㈳昴〹㝡攰慢㥦捦㑣散㠴㝡ㄲㅢ㑥㔳㈶㘲摢㙥捡〵挰攸扦㈴昰㡦晥㠰ぢ〹戸㠸㠰愷〰㘰搷㙢扦㐲㙡㐴㠱搲愲㕦㔲戹㍦愵昲愵昵ㄲ㜸㠲搶㍦㜹㡡昲搰㝡㈹㡢扡㡣㐵扤〴㐰㈹慤㉦㐳㘷搱㝡㌹㈰㍦㠸搶㔷攰㉡戴㕥挱捣ㄹ㐱㔳㐴敢㔵搰昶㑦敢敢㜰ㄳ㕡慦㘶㈶㜶㐲扤㠱つㅦ㕡慦〱㐶扦㤶挰㌷晤〱搷ㄱ戰㠶㠰户〰㄰㕡慦㐷㙡换〲慤昶㑦挳㙣㐲ㄳ扥㝣摥〸ㄷ昰挹㠰ㅤ愷ㄲㅥ㍥㙦㘲ㄹ㌷戳㡣㡦〱㈸攵昳ㄳ攸㉣㍥㙦〱㘴㐳㡦散敡㔳戸〹㤷户㌲攳捦㤰㉡攲昲搷搰昶捦攵攷㜰ㄳ㉥㝦挳㑣散㠴晡〲ㅢ㑥㌳㍣㌳搳敤挰攸㜷㄰昸愵㍦攰㑥〲敥㈲攰㉢〰㠴换扢㤱敡㙢慦㑦晢搲㜹て扣㐰攷㜷㥥㘲㍣㜴摥换㘲㝥挷㘲ㄸ慡㔳㑡㈷攳㜳㉣㍡敦〳攴〷つ捦〰㕣㠵搲晢㤹㌹挳㝢㡡㈸㝤〰摡晥㈹㘵ㄸ㄰晥㜰敤㤵㤹㘰㐳扥㡣〵㜲㈸㥤〸愵扤搷慦〵㐶㕦㐷㘰扤㍦㘰㍤〱てㄱ挰搰㈱愱昴昷㐸㔵ㅣ㥥㐹㕦㍥ㅦ㠱ぢ昸摣搸㔳㠶㠷捦㐷㔹挶㘳㉣㠳㤱㍦愵㝣㙥ぢ㥤挵攷攳㠰㙣昰昰㙣㠰㥢㜰昹〷㘶㍣〲愹㈲㉥㥦㠴戶㝦㉥户㠷ㅢ晥㄰㐸挸㑣戰㈱㕦㠶ㄵ㌹㕣㝡㠶攷㔳挰攸㑦ㄳ㌸捡ㅦ昰っ〱捦ㄲ挰㈸㈴攱昲㑦㐸昵㌵㍣挳扥㜴㍥て㉦搰戹戳愷ㄸて㥤㉦戰㤸㍦㐳搴昲慥㝦ㅦ慢㔸摣〹昵挴㠶っ㐵㥥㕡㝥㐱㐷㙢てㄶ㤸㥣㝤愶戶昶攰㔰㌹㌸て㠱㑤〹攲搸㔲ㄶ㥥ㅥ愷㌱敥〹敤戶攵愶愲㌳摣㥦㤵摢扤愷扣㈳㝤捣搶挹戰攷ㅣ戸㍦㤰㥣ㄴ晢搴昱愷㜴㤶慣慣㥢昹昶㠹戲ㅡ㔵㌹〴挶挳㍢㑦㜴晥ㄷ攷搴戲戰愹搲晦捡㘱攳㌹扤㡥昵㍢㍣㍣搱㐰㕣ㅢ〶㜸㡡㙤改㠶搸攱㘶㌳㍡扡戱㐸つ搸㈹㥣㠲っ戵㌷㘷昷昶ㄴ㔹㡣㤵挳㙤ぢ㘲㠹㘷㜷攰挴㌱㙢㜴攵㝥㈲㘷ㅤ㘸㥢㜵㜲㉣㈷㄰㍦昲挲〵㌲攱挷㜳慥㠰㔹㤶㤷㌱ㄸ㜲昳㐳〲愹敡㤱换㄰㔲敤挶㔷搵㌱戵户㘹㜴㐸て捣敢挹㑤㌶㤷换ㄵ愴㌹㈶㉥晦攰㜱〴㙤收㜰㜱㜰㤳戲扡搶昳㑤㤹㙥㕣㡤攸攱愹愶扤㈵㍢戸㥥摦挷㙣㌳昸愳ㅦ㥣ㄹ摡㕢㜳戲㍤〸ㅢ㜴㌳攰て㝡㝥㍡扤〳㐶㙡散ㅥ㔲搲㐷㕡ㅦ昳㕡㜱㈳戸敦晣挸ㅥ㐵扦攵攵昳㐱愳晡搵㐵晣摣搰㔸攵㙣戰㙦搱戹っ愵敡攳〲〷收㔸㙦搴ㅢ昷愲攱㑥㌰愶㌵戳挹愴㌵搸搱昱㉡挸㄰㕥慤敡敡挱慦摥昸㌳昳㝡敥㌶㙤㌸㑤散㘹挵〹㝦摢慡愱昹ㄹㅤ搹戶摥㥣㈹㔷ぢ㥣戹㕡㉥ㅡ晣㈴晡慢〶㠴搸㝢㔳ㅦ扣搸愴捣挰㘳㕢㥣㕦㐱晤昸㑢㠶晡㡢㍣攴昱㙡㌸昲〸攸㉦㈱挵慥㘱㠰摢てづ㌱っ㈰㤷㡤ち〱戲昲㠰て㑣㙢㘵㉡捥㘷㡣て㜳愳ㄴ㘵㡦昳挰㘶㜶捥散攴㈵㐷㡦㙡㝡慢愵晡㐹昴ㄳ摡㘹㜵㤳愶攱㥡挹㡦摣㐳㤸〹㘶㍣昹慦敡㈳摥捦挵攷愳㐶昲㡦ㅥ㔰㡣㈱戴搶㙥晦㠷㝤㔲昸昵㍦㝡慡慡㉡〲㙣㌵㠵㡤㘶戰愱㉣搹㕥〶㔸㌱敡搰㕡戲㔹㕤慢扦ち㙤晦㑢㌶〶㈴攲慦㑡㝦㡤㜰㙣昰慢ㅡ愱㜲㤶㙣㐸愳㐰戹搶昱㍡㌰晡ㅢ㉣㙤愲㍦攰㑤〲摥㘲㑥㡣㔴㉢㥤㜳㉡〶摤つ㘰戹敤扣㘴㔱搷捥㑢㌷搸㘳㌵晣㜸ぢ㐱㠵戸晣愳つ慡㙢㐲㘶晡摢挸昶㡦㑦㍥㌹㠱昵㔱っ㔷㜳㉡挸慢搹㜶〵晦捥昲摦㠱㔰っ㌹㉢㕤ㅡ㌳捥捣愲昷ㅦ㠰㙣昰搲㤸㤱㘹挲昳扢捣㤸㈱㙡㐵㑢攳昷愰敤㥦攷昹㜰挳ㅦ敥敤㌳ㄳ㌶㠱㕦挶戳㌹捤昰㉣㡤晦〵㡣晥〱㠱㡣㜵昳〱㝣㐸挰㐷〴㌰晣㑤㤶挶ㅦ㈳搵搷搲㌸攵扢㌴晥〴㕥㔸ㅡ㌳㈸捥㈹挶戳㌴晥㤴挵㝣挶㘲ㄸ挰㔶㑡㈷愳搶㉣㍡晦〳挸て㍡㜳㘳慣㥢㔰晡㌹㌳㘷搰㕢ㄱ愵㕦㐲摢㍦愵㑢攰㠶㍦晣㑣㠵㤹㌸㤴㌲㐲捥㘹捡㐴㌶捥ㅡ扡㕦〳愳㝦㐳㈰愳攷㝣〰摦ㄲ昰ㅤ〱っ愸ㄳ㑡扦㐷㙡摢挲㠵〵晢愹㍤昲戴ち晢敡㠲晦改戰攲㜸づ㈸〶摡㌹〵㜹㐸慤㠶㔵挷攵㐸㐴慦〰㔰㑡㉡㈳攱㉣㔲㙢〰搹攰㌱捡搸㌹㈱㤴㑦㝡㔲っ愲㉢㈲㜴㈰戴晤ㄳ㝡㉣摣昰㠷㠷㝡㌱ㄳ㙣挸昷㌸㐸愷ㄹ㥥㌱捡㐷㠲改〱〲ㄹ㡤攷〳ㄸ㐴挰㘰〲ㄸ愰㈷㠴づ㐱慡慦㌱敡㝦戱愶ㅥ㕥愰㤳㘱㝢㑥㌱ㅥ㍡㠳㉣㘶ㄸ㡢㘱㠸㕤㈹㥤㡣慢戳攸摣〸㤰つ愶㤳㤱㜸㐲攷㜰㘶㝣ㅥ㔲㐵㜴㙥〲㙤晦㜴㌲㜴て㝦㜸扡ㄹ㌳㜱攸㘴晣㥥搳って㥤㥢〱愳㙦㑥㈰㘳晢㝣〰㕢㄰戰㈵〱っ昷ㄳ㍡户㐲慡て㍡㈳晥㘷挳摢挰ぢ㜴㌲〸搰㈹挶㐳攷捦㔸捣戶㉣㠶〱㝢愵㜴㌲㑡捦愲戳〱㤰つ愶㤳㜱㝤㐲攷〸㘶㝣㈳㔲㐵㜴㙥て㙤晦㜴㌲㄰㄰㝦㔵晡㐸㘶攲搰挹㘸㐰愷ㄹㅥ㍡㐷〱愳敦㐰㈰㈳〵㝤〰愳〹搸㤱㠰摢〰㄰㍡㜷㐲慡て㍡挳㌱摦ㄹ㜴っ扣㐰㈷㐳ち㥤㘲㍣㜴㡥㘵㌱攳㔸っ挳晦㑡改㘴捣㥦㐵攷㜸㐰㝥搰っ晡㈰㕣㠵搲㕤㤸昹㕡愴㡡㈸つ㐳摢㍦愵っ㉤挴ㅦ〲㘹㤸㠹㐳㈹攳ぢ㥤愶㑣㘴攳慣ㄹ㌴ち㡣ㅥ㈳㤰戱㠷㍥㠰㌸〱〹〲ㄸ㡥㈸㤴㈶㤱摡慡㌰㠳ㄶ㕦㥡つ晢㕦晣㑡挳〷㠴㌲㐴搱㈹挴㐳攸慥㉣㘴㌷ㄶ挲㜰挲㔲㐲㥦㠷捥㈲㜴㜷㐰㌶㜸㝣㌲敡㔰挸㥣挰㡣ㄹ㝥㔸㐴㘶㈳戴晤㤳挹㌰㐵晣攱攷ㅢ捣〴ㅢ昲㘵慣愲搳っ捦昸㙣〲㐶㥦㐴㈰攳ㄸ㝤〰捤〴㑣㈶㠰愱㡤㐲收ㄴ愴戶㉥㤰㔹㜸㠸㥣㜵㐷挶晦㔸㌴つ㑥㘰昳㔵㑦㈹ㅥ㌶愷戳㤴ㄹ㉣㠵戱㠹愵㙣晥ㄳ㍡㡢捤㍤〱搹㘰㌶ㄹ挲㈸㙣敥挵㡣ㄹ换㔸挴收摥搰昶捦㈶㘳ㅥ昱㠷攷㔵㌱ㄳ㠷㑤〶㍥晡㤰㌵ㅢㄸ㝤づ㠱っ㡡昴〱捣㈵㘰ㅦ〲ㄸ㈷㈹㙣捥㐳慡て㌶晤挷收〲㌸㠱㑤〶㑦㍡愵㜸搸㕣挸㔲昶㘵㈹っ㜴㉣㘵戳ち慢〹㡢捤晤〰昹㐱㍢㍢㘳㈲㠵搱晤㤹㜹㌵㔲㐵㡣ㅥ〸㙤晦㡣搶挰つ搵挲㤳戱㤸㠹挳㈸晤㥣愶㑣㘴攳慣㥤晤㘰㘰昴㐳〸搴晣〱㉤〴ㅣ㑡挰㐰〰㠴㔱〳愹㡡㍢㝢㠵㠳㔱ㄶ㍥㈰㤴挱㤸㑥㉤㍣㠴收㔸㠸挹㐲㌶〶愰㤴搰㑤愱戳〸捤〳戲挱挳㤳昱㤵㐲收㈲㘶扣㌹㔲㐵㘴戶㐲摢㍦㤹㕢挲㑤挸㕣挲㑣ㅣ㌲ㄹ㤵改㌴挳戳戳㉦〵㐶㙦㈳㜰㙢㝦㐰㍢〱ㅤ〴㙣〳㠰㤰搹㠹㔴㕦〷愳㤰敦挱攸㌰㜸㠱㑥㠶㜶㍡昵昰搰搹挵㘲扡㔹っ挳㌰㑢改ㅣぢ㥤㐵㈷㥦ㄱ扢挱㜴㡥㠳㥢搰搹换㡣挷㈳㔵㐴攷ち㘸晢愷㌳〴㌷愱㜳㈵㌳㜱攸っ㐳敢㌴挳㐳攷㉡㘰昴挳〹㡣昸〳㡥㈰攰㐸〲ㄸㄲ㉡㜴ㅥ㠵㔴㕦㜴挶㝤改㍣〶㕥愰㤳㠱愲㑥㍤㍣㜴ㅥ换㘲㡥㘳㌱ㄳ〱㈸愵㜳ㄲ㜴ㄶ㥤㍦〷攴〷敤敥捤㜰ㄵ㑡㡦㘷收㤳㤱㉡愲昴㐴㘸晢愷㜴㉡摣㠴搲㤳㤸㠹㐳改㌴㘸㥤愶㑣㘴攳慣摤㝤㌵㌰晡挹〴㑥昷〷㥣㐲挰㉦〸㘰㤰愹㔰㝡㉡㔲ㄵ㜷昷戰晦搱攸㜴昸㠰搰扤㍤㠵㜸〸㍤㠳㠵㥣挹㐲ㄶ〲㔰㑡攸㝥搰㔹㠴㥥〵挸〶㡦捦晤攱㈶㘴㥥捤㡣て㐰慡㠸捣㜳愱敤㥦捣㠳攰㈶㘴㥥挷㑣ㅣ㌲て㠶搶㈱搳㌳㍥捦〷㐶扦㠰㐰㐶愷晡〰㝥㐹挰㠵〴戴〰㈰㘴㕥㠴㔴㕦攳搳晦㜰㜴㌱扣㐰㘷搶㔳㡣㠷捥㑢㔸捣愵㉣愶つ㠰㔲㍡㍢愰戳攸扣っ㤰つ愶㤳㤱愹㐲攷攵捣㜸ㄹ㔲㐵㜴㕥〹㙤晦㜴㜶挱㑤攸扣㡡㤹㌸㜴㌲㥥搵㠷慤慢㠱搱慦㈱戰挷ㅦ㜰㉤〱搷ㄱ搰ぢ㠰搰戹〶愹㍥攸㡣昸捦㥥㌷挰ぢ㜴慥昲ㄴ攳愱昳㐶ㄶ㜳ㄳ㡢㌹ㅥ〰愹晥捤㑣搹搵慦㍤〹摡搲攸㥥戲挸㉢㠶㙢攱敥て㘲戰收昵慣㙡㐳摣ㅢ㌷ㄹ敤㘳㙤昱攲㤷㘵㐶っ㔲㘷ㄷ慥つ搷㤴晥㝥摢昵扤ㄵ㔹つ摡戸攴昹㕢攲㐶换〹愸㑤敤扣㙦捡㥦㌱攵晡戳攲㠵㠷昱搰㠷ㅦ敤㔶戴㘹攳扤㕢戳㕤㥤摤㥤昹㥥㠶㜹㠸改㙣攰昳捣昰㤳戰㔰㔳敤㕣攴攸㕢㈶ㅢ㔶搳挱㈷㍢㉦攷昳㝤〲㑢㍢㍡㔷㜴㐸㙤㙡扢昹㔸㌷攱㙢攰㐰ㄶ挳㑢挶昲搹ㅥ攴〵㔷愳愲扣㠲愷晦ㅡ〵て愹て㥥㡣㌴晥慡戴摦㈰㍤慡㜹㔲昳㍥㉤昱㜰㈸㥢㌵愳愹㕣搸っ挵㐲㜸㌸㥤㘱挶挲搹㑣㌶ㄹ㑥㤹改㘴㉡慦摤敥㐲捤㐸㌸ㅢ捥㈵愳㈱㈳㘹挴㡣㙣㌶㤵㠸㈷㔲戹㐸㌶㡦㐴㌲ㅡぢ〷ㄹ愹挵散昵㍢攰愳摦〹ㄱ㘴㠰㤶愸敥愲敡㙥慡ㄸ慥㔵㡣慡㍤〳改つ㡤愲㈲ㄹ㉡愳戲戸㙣㘶搶っㅣ㔸㜶搷戲㉣晡㡡㌱㤰昲挴㈷㑤㘳昰㔵敤㌴搰㕣㝡慢搳摦愹戸ㄷ改扣ㄹ㕢昷㍢㌶攵㍥㠸㐰㤰㐱㔷慣㤰㜶㍦㤲挳㥡㈷戵ㄴ㍦㤷㕢晢ㅦ愸㌷㠲ㅡて㈸㜲ㅥ㔹挴〱愹㍤〰晤㘰攸攵㐲晤㍥㜸〰㥣昶㈰㌴㐳愱昱㐴愱〶捦戲㜳搷搷挲愸慦㘷搹ㄲ㥣捥㔰㜷㜵づ㡣搲昱扦㠷㤱ㅢ昲㍤て㕡敥㉣㙡㌷戴㤲㐳ㄴ㠶㉡敤ㄱ㐰㉡㡥㍢㤵〶㡣㘳慦㜸散㥣㡦㕣㘴散㍣〶㘷㡣㥤ぢ㤰㤶愶㍥㡥戴㌵㜶㐲挹㐸捣捣㥡ㄸ㉢〹㈳㤶㠹ㅢ改㔸㉣ㄷづ攷㘳㠹㝣㈶㤵捤㠶搲摡ㅦ㕣㘸㈴㥣ちㄹ昹㔴㉣ㄵ捡㐱㐴ㄳ㐶㍥㥤㑤㘵㤲㜰㡡㐵ㄳ愱㔸㕥㝢挲㠵㠶昳㠹㑣搶㠸㠴搳愱㜴㈸ㄶ㑦㈲摢㔰㍥㘳攴㌳〹㈳ㄹ捡ㄹ戹㠴昶愴ぢ捤㠷攳戹㘴捡㠸愷㘳愱㈸㡡㐶敥戱㑣㈸㤵っ挷㌲㐶㈸ㄳ㌳㤲㐱〶㤱戱搲晡ㅦ攱愳㍦㐵昱㌴挵㌳㄰挱ぢㅤ攳戳㔴晤㠹攲㌹㡡攷㘹扣挸㌱㡡愷敢㈴㜹愸㑢㘰攴㤸㔵愳㐱ㅢ挷ㄳ戶昱慢㌹㍡扦〴ㄱ〸㕥敡㜸㜳㕣攸ㅣ〵㍡扢㕣㘷㉦〷ㄹ㑤㈶㤵㝡㡤慡昵㜴ㅤ㐵㌱ㄲ㐲㕤〱愳㜴敢㕢㌰㜲〳晦㔵愹慢愰㤵㙥摤ち㠵戹摤晡㜷搸㉡㜷敢ㄶ㠰㤶㜷敢搵挸㐹扡昵ㅦ㜰㐶户㕥㠳戴㜴敢扢㐸摢摤㙡攴㘲㤹㐴㈲ㅥ〲扤㌱㌳ㄲ㑢㘷㡣㌸㤸㌵搳戱㘴㌴㙡㥡㘹敤㥦㉥㌴ㅡ㌶㌱㑤㘴㐲㌱㈳ㅥ㡤攵戳㜸ㄵ㐰㉥㤵㐲㜷㤹㤹愸㤹挸㤸㔹敤㍤ㄷㅡ㌱㔲搱㜴㈸ㅡ㠹挷㘲挹㤸㠱㡥捦挵ㄳ㠹愸㤹㑦攴攳㤱㑣挸㑣㘹敦扢搰㔴㌲㤶换挶搳㠹㔴搶㠸挵㐲昹㥣㘱㘰㄰〰㥦ち攷㐲㠹㜴㉣ㅦ扣搶慥戴晥㉦昸攸ㅦ㔰㝣㐸昱ㄱ㐴昰㍡挷昸㌱㔵晦愶昸㠴攲㔳ㅡ搷㌸㐶㐲㉤㜷昱㘴ㅥ㡡㤱㙢搲慤〳扤摤晡ㄵ㤱㕦㐳〴㠲っ㕥㤳㥥昳敢搶㥢ㅤ㈳㈱㔶户㡥㘵户㡥㘱〷摥ち愳㜴㉢㥥〶㘹敤愹搴晥ㅡ㕡改搶慦扦㉥㜴慢捥愳〴て〸敡㑢㘸换㝢㤰攱㘹搲㠳㜵挸ち㍤㜸㍢搲昸慢搲昸づ〹慢〷捤㜰捥㑣㘴㈳戱㜸㈸㘴挴昲戱㔸ㅡ㍢㔹㌴㠶慥挲捣ㅥ捥㐷愳㕡挰㠵ㅡㄱ㈳ㅥ㡥ㄸ改㜸㈸㤹挴㡥ㅢ㑦㥢改扣ㄹ㑢㠴㐲㠹㜰搶㑣ㅢ昱㈰㠳摣㤸扤㍥〸㍥晡㘰㠸攰㥤㡥慡㌰愹摦攵愸㕣㤴扡〷㉡㘱昳㐳㌴㠳㍢㠹㑣㥥ㅢ㌱㤷攱㄰㠱攰扤〰㘰愳㑡昷㘳㤳㌱㙤㘲摣㥣づ敢〹㡢㔲㐴㈰搴晤㌰ち㥢㕢挳挸つ昹㌲㈶㑤搸㝣搳换㈶攷㍥㘱昳㜵㕦㌶ㅦ㠴㤳戰搹㠰慣挰收㕡愴㔹慥㌶〲搲㘲㌳㤶捡㐶㌲挹㕣〸搳㔶㈶㠶愳㈴〶㙦㉥ㅦ㑥攵昳愱㙣㈲㤱〹㘷戵敤㕣㘸㍡㥤㡣收っ散㈶㌹散ㄳ愶㤱㐸㠵戳㤸昴㌰攰㐳㠹㔸㉡㤹㑥㙡摢扢搰㜸㉣㤷ち愷捤㘴㉥㠵づ㡡㤸㤸戸昲㈹㌳ㄶ㐹愴愲挹〴㈶戰戸㌶搲㠵㘶捤戰㤹㐶捦㐴攲㤹㉣㄰挸〷戳㕣㌶ㄳ㑦ㅢ㘶㌶㠴捥ち㌲㙡づ㘸捣㈳㤰晡づㄴ愳㈹㜶㠴〸慥㜷㡣㍢㔱戵㌳挵ㄸ㡡戱㌴㍥攴ㄸぢ㑥㤲〷㍤搵㈳㌰㑡て㍥㙤昷㈰搲攸〱㍡㐷㈱〲挱㐷ㅤ㙦扦ㅥ㘴ㄴㅤ㔰㔵㝡㡡づ敢戹戵㉢㐵ㅡ㐲㐹㈴ㅣ㔳扢挳攸昶攰㤳㜰㤱ㅥ㝣挸搳㠳摡ㅥ㠰㔴㥥收搶昹㜶㉢㠳攴愴㕢㈷挲ㄹ摤晡ㄴ搲昸慢搲㥡㤰戶扡㌵㤹㌳つ捣㔲㘱㉣㘷㜰攴㐰㍦愵㔳㜱挳挸㥢㤱㑣〲㐷㤵㙣㔶㥢攴㐲戱攴㌱㜲改㘸㍥ㄶ捡㐴㜱㐸捡愷㤲戹扣㤱㑣攴愳ㄸ〶戹㑣㉣ㄳ㝣摡捥㕥㙦㠶㡦㍥ㄹ㈲昸㡣愳㥡㐲搵㔴慡ㄸ㙦挷㑡ㄴ㔰敡㜹愴㠵攲摦摡ㄴ换㑥戲㈷㕤昶㠲〸〴㕦〰〰ㅢ晥㍢挹㥦ㅤ攳ㅣ㍡慣㈷慣㠹㘲㈲㐴敤㕦㘱㉣㕤攷㜸㝥㌷攲〹改攲敦〰㠲㥥㌸㍢㔹㌱つ换捦敤㌵摡昰㜲㤱搹〸晡攸愱敡愷㄰㉡㔰㘳㠵摥昴扢㔸㤴㈶ㅣ㜸㌰搷㙣愵ㅣㄴ慦昵散戶挹〲昱挷〵ㅥ〴㙡㙦㐶摦㙤㔸㈹ㅣ改㠵昳〲搶㡥戳㔳㐰㕦挰扥㐶㤸挸㡢攸戳つ㡦㔴㘱㙥挳㜱ㅥ㘰扦㠸㠸㍦㥤ㄹ搳㠶愰㥤つ昸愵搲㐲ㄴ愸ㄸ㥣挲㍣昴㝤㤱挲戶㝣搵换㡥㜶㍦㘲愰搵昰㔵慦㐲㉢扢收ㅡ敦慥㜹〰㈰㤵㜷捤㙢㝤㜷捤搷㤰㤳散㥡〷挱㔹㍦㤸攲㄰㡡ㄶ㡡㐳㈱㠶っち㌲ㄸ㠲㥦攰ㅢ捥挶㥢捥挶㕢昶㐶晤摢搸攰㤲㤵搵晢慦㝥㠲㝦㐷捥散ㄷ敢挰㔴㔸戸扤攳攸㜳慣敡㌴㈲愶㐲㈸㠹㕤㘰㙡ㄱ昴㘴㑣扥㡣㕤㄰挶㉥昴㌰愶㜳㌲㤳挳搱〵扥攴扣て㈷㈱㘷㈹㠹愸て㌲㕡〱㝦㔵㕡ㅢ搲昶扣㘵㈶㐲搱㔴㈴㤷〹愷愳戱㐴㉡㘲㘴㐲攱㜴㍡ㅤ㡥攰昸㤴捣㐷㘲㕡㝢〱㥡㐹攱㤸ㄲ㡡ㄸ昹㘸㌶㤶㑤愵㡤㝣㈸㠳㘳㐹〴㐷㤰㕣ㄴ慢扣攰〷㜶昶㝡〷㝣昴㑥㠸攰㠷㡥慡㌰㙦㝤攴愸〸㄰愸㘲㙣㠳捣㕢愷愱ㄹ敥挱扤㤷昶攵㄰㠱攰愷〰㘰挳㝦摥晡捣㌱ㅥ㐱㠷昵㠴捤愲搸ㅢ㐲㐹搸〲㔳挷挰攸戲昹㈵㕣㠴捤㘳㍤㙣㙡挷〱㔲㜹晣ㅤ敤㑢㌱㈳ㅡ㠴攲攳攱っ㡡ㄹ扤㠰慤㉡敤〴㐸㡢攲㑣㈴挵昳㡡㙣㈶㘵㥡㌸挳挹愶㈳㜱ㄳ攷戸戹㑣㌲ㄹ㑤攴昲㜱敤㐴ㄷ㡡㔷㘱㠵㐳昱〴㔷户攱ㄸ捥㙡㌲昱ㄴ㥥昳㥥て㈱㤱㑥㘵㌲㌱敤㈴ㄷ㥡㡥攵㐲㜹㌳㡤ㄳ㤴㐸㈸㤶捥㐶㔳㜹ㅣ㜷戰㘰㠸㈴㜱㈲㠵攵㤶戶摡㠵㘲〹㘱㘶昱㌲㉥搳挴㔹㑤㌲㥣㐹㘷㐳㌸捦挶㉡搹㑣愷㡣㔰㉥ㄲ晣挶慥戴㝥㌲㝣昴㔳㈸㝥㐱㜱㉡㐴昰㕢挷㜸ㅡ㔵愷㔳㥣㐱㜱㈶㡤っ挳挰晦ㄶ搴㜲㜲昳挰〳㜸敤㙥㙤戳扢ㄵ㘰晣㘶㠷捥ㄷ㐰〴㠲っ戰㄰㙦扦㈳晥〰挷㜸㌱ㅤ搶搳㜵〱挵㝣〸㔵ぢ㈳㝢㔳扦ㅣ㐶户㕢〷㐲㉢摤㝡愸愷㕢ぢ㉢攰㐳㝣㝢戰づ㑥搲㠳㔷㈳㉢昴愰㡥㌴㉢慡㕤㠳戴搵㠳昱㔸㈴㡢㔳㠵㐸㌴㡢㌳㤷㝣㍣㤶㡥㘶㐳挹㙣㌴㤴っ㘵㤳㤱㝣㈴慡㕤敢㐲㘳㔹ㅣ摤愳搹㡣㤱㡤㥡攸戴㜴㉡㤱挷㤵㄰㈳㤴㌵挲戹㔸㈲㥡〸〶散散昵敢攰愳慦㠱〸づ㜲㔴㠵ㄵ昰㘰㐷攵愲㔴㍤㔴戲㤳捣户搹㤴㠳晢㉤捣攵㔶㠸㐰㌰〸〰㌶晣㜷㤲㘱㡥昱づ㍡〸㥢〷ㄱ换攷㍥愹攱㌰ち㥢扦㠵搱㘵㜳ㄳ㘸㠵捤改扥㙣㑥昵㘵㜳㔳㌸〹㥢昷㈱㉢戰戹ㄹ搲挲收晤㐸㕢㙣㐶㘲㔸晢攰㑣㍦㤱㡢㠰搳㜸㉣㘳收昳㤱㜴㌴㥡捤ㅡ㌹戰㤴搲晥挷㠵㈶㌳㐶づ挳搵㌴昲㐶〶㈳㌷㙡ㄸㄸ改昰挸㘷昳㌸晢㑢愵㠲㡣挳㘰昶晡〳昰搱ㅦ㠴〸㙥攱愸ち㙣㙥改愸〸㄰愸摡〶㉡㘱㜳㜷㉦㥢て搳晥〸㐴㈰昸㌳〰戰攱捦收戶㡥昱〹㍡〸㥢㔹㘲㌳㘴㜳〴㡣挲收搳㌰扡㙣㙥て慤戰ㄹ昲㘵㜳扣㉦㥢㈳攱㈴㙣㍥㠷慣挰收㈸愴㠵捤攷㤱戶搸㌴戰㝥㑦㥢搹㠸㤹㑣攰㘴ㄸ捦㕣㡦攳晣㈲づ搶っ㈳㥣挹㈵昲摡ぢ㉥㌴㥦㑣㈶㈲㘶㍣㙦收㌳挹㔸㉣㘵ㅡ㐶㉡ㄹ㑤㠳晣㐴㌸㙡收㜲㤹攰づ㜶昶晡㥦攱愳晦〵㈲㌸摡㔱ㄵ搸摣搱㔱戹㈸㌵〶㉡㘱㜳愴㤷捤㤷㤹换㉢㄰㠱攰㔸〰戰攱捦收㌸挷昸㈶ㅤ㠴捤㈵挴戶㤲捤㕤㘰ㄴ㌶摦㠱搱㘵㌳っ慤戰戹戹㤷㑤㑥攰㜲㌸摣搴㤷捤〸㥣㠴捤昷㠰〳㥢㔱扢㕣敤㝤愴㉤㌶挳ㄸ㕡昱㙣㌸ㄹ㐹㥡戹㔸㉣㥢捥愴㡣㐸㍡ㅥ挱㡣ㅣ㑤㘱散愵戵㝦戹㔰挳っ㘷捣㐴っ戳㉦㑥㜱捤㑣ㅡ搸戴ㄹ挵㘹㔵㌲㤵挶㌴ㅢ搵㍥㜰愱㌸㘱㌶攳㘱〳㤷㥦㔲㈹㥣愸㈵搲㐹㌳ㄳ㌶捤㜸㉥ㄶ挲扡㍦ㄶ搱㍥㜴愱㤱㡣ㄱ㡥㐵㜰愴㐸挵㤳戱㌸㡡㌷挳搱㕣㉡ㄷ捦攳㤰㥢㑥ㄸ愱㘰捣慥戴晥ㄱ㝣昴㡦㈹晥㑤昱〹㐴㌰敥ㄸ㍦愵敡㌳㡡晦㔰㝣㑥㘳挲㌱㡡ㄳ昱㤶㈷㌳㔲㘹ㄸ愵〷㙢散ㅥ攴㌰搳扦㈵攸㍢㠸㐰㜰㔷挷摢㙦慥摥捤㌱づ㐰㔰慡搵㠳㠷搱㝦ㄹ㠴㥡〰愳昴攰㐰ㄸ摤ㅥ㙣㠴㔶㝡昰㡢慦晣慥㔶晣〷摡昲慢ㄵㄳ攱㈴㍤㌸〸㔹愱〷㥢㤰㤶晤㘱㌰搲㔶て攲㑡㘰㈴㤹㡢攰散㍡ㅤ㠹攱㐲㜴㈶ㅥ㠹㠷捤㔸㍣㥣挳㈰㑦㈴㑣㙤㠸ぢ㑤挶㤲昹㕣㈴ㄲ挳〵㉡㥣㕦愷㡣ㄴ散㌸敡㘶㌸㈵㠵戲㤱㜴㤰㘱ㅦ挲挳㔰昸攸昵㄰挱㘶㐷㔵搸ㅦ㈶㍢㉡〲㜴㐲搵㌴愸㠴捤昷搱っ㜷㐱戳〹敤㥢㐲〴㠲搳〱〰慤晥晢挳っ挷戸ㄵㅤ㘴㝦㔸㐹散ち戲戹ㄷ㡣挲收戶㉣㠸ㅡ㝥昷㠶㔶搸㝣捤㤷捤㔷㝣搹㥣攵㤴戳㍤戲ㅡ㌲㈰㌸ㅢ㘹㘱㜳㈴搲ㄶ㥢戱㌸㈶摣㑣挸〸㠷戳㜱㕣㄰㡤㘲つ㤳㡡㠷愲㘹㥣挳㘲搲挹愷戴㔱㉥㌴ㅣ㑥㠴㤲攱㝣搶㌴ㄳ㘶っ㤷㉣㔲搹㕣㌶ㄳ挲捡㈷㥥㌴戰㠴㐹〴攷搸搹敢㍢挰㐷ㅦつㄱ㥣敢愸ち㙣敥攳愸〸㄰愸㕡〰㤵戰昹扣㤷捤㜱戴㡦㠷〸〴ㄷ〲㔰㤱㑤㠶㜹㠸㌱㑡〷㘱㤳攱摣昲㤶㈹戵㍦㡣挲㘶ㄲ㐶㤷捤〳愱ㄵ㌶ㅦ昳戲改捥㉥㡦昸戲㜹㄰㥣㘴㙣敥㠶慣㌰㌶て戶换搵㜶㐷摡㘲㌳㤴㑥愵戳㜹慣攸攲戸㈸ㄹ㑥㈶㡣㐴㈸㠱㥦㘱㐴昲改㐴㍡㡢㘵㠳㌶挱㠵㐶ㄳ愹ㄴ收㠶㜸㉡㥤㌶㘲㠹㌰慥っ㘱㜱㥥挰㐵㔴㕣㡣挶㥡㌰愲敤攱㐲㘳㈱㉣㌷愲昱㐸㡣ㄳㄱㄶ收㔸㡡㠷㌰愶㌹〷愵㌲昱㑣㔸㙢㜴愱戸㉡ㄴ㠹攵㐳改㑣〴㤷捡搳㔱㌳㤳挵愲ㅦ换㤵㌰㡥〳戱㘸㉡ㄴ㍣挴慥戴㍥ㄱ㍥㝡ㄳ挵㈴㡡㘶㠸㘰㡢㘳昴㥢㕤づ㜵㡣㉥扥㤰㠷捡挲㈸㍤㜸愷摤㠳戲㔷敤捤㥣㘷㐱〴㠲㌹挷摢㙦㜶㌱ㅤ攳㍣㍡㐸て㥥挴ㅥ㍣㤱㈳㝦ㄱ㡣搲㠳晢挲攸昶㘰㉢戴搲㠳搷㝢㝢搰扤ㄶ㝡㥤㙦て㉥㠱㤳昴攰㠱挸ち㍤戸ㄴ㘹搹ㅦづ㐲摡敡㐱慣搸挳㔸戸攰㙡㌳慥戳㘱㑡㐹攵㜰㘵ㄴ戳㌳㉥㜷㥡㘶㈸㘲㙡〷扢㔰㈳㡤㌳愸㔸㌴ㅣ捦攰㘸ㅢ㑦㐶㌳㌹摣ㄹ换㥡㔸㥣愷㜳㤱㕣㈸ㅤ㙣戳戳搷て㠱㡦摥〲ㄱ㙣㜷㔴㠵晤愱挳㔱戹㈸㜵ㄸ㔴挲收㈵㌶㥢戲ㄲ㌴㤹㑢ㅥ㈲㄰散〲愰攲晥搰敤ㄸ㤷搲㐱搸攴挳捡攴慤㘴慡ㄷ㐶㘱戳ㄳ㐶㤷㑤㠶㠶〸㥢㘷㜹搹㜴㑦㍥捦昰㘵㤳〱㈲挲㘶㌷戲〲㥢慢㤰ㄶ㌶㝢㤰戶搸捣㘳搵㘲愶㜲㔹㉣㡦昳戱㘸〶户〶戰搲换㐵挳㐶㈲㠳㤹㌹㘹㘸扤㉥㌴㠷昵㕥㌲ㄳ㡥攳㠳㙢捦戸㥢㤳㌴㌰ㅢ㠵㜱㙡ㄴ挶攱㌴ㄵづㅥ㙥㘷慦㉦㠷㡦扥〲㈲㜸㠴愳㉡㥣㝣ㅥ改愸〸㄰愸㍡〶㉡㘱昳〴㉦㥢㐷搱㝥㌴㐴㈰㜸㉣〰ㄵ搹㍣捥㌱ㅥ㑦〷㘱昳㍣戲㜹㉥挷收昱㌰ち㥢慢㘱㜴搹㍣ㄱ㕡㘱㜳愵㤷㑤㜷㜶㔹敥换收㐹㜰ㄲ㌶㑦㐵㔶㘰㜳戵㕤慥㜶ㅡ搲昶散ㄲ挷ㅣ㥤㑢愵㜳㠹㜴㈲ㄶ挶㈴ㅤ㠹攲㑣㍤㈵搷㡡昳戹戴愱㥤敥㐲ㄳ㌸㉢㌱㌰㥦㐴ㄳ戸愰㙣㠶㜰晤㌷㡤㉢昹挹慣㤱挱扦㜴㌶愱㥤攱㐲㜱㉤搳㡣㐶㈲〹摣㤰挹挴戲ㄹ㜴㔲㍡㡥扢扡㔸㤸㘰晡挲㘹慣㜶愶ぢ挵改㑥㍡ㄶ捥ㅢㄸ摤㤸㕤攲㠹っ㙥摦㠴㌱昶㐳㜴㠸收攲挱㤳敤㑡敢㘷挱㐷㍦㥢攲ㅣ㡡㜳㈱㠲愷㌸㐶扦搹攵ㄷ㡥戱攰㈴㜹搰㔳㥤づ愳昴㘰捥敥㐱づ㌳晤㔲收㝣ㄹ㐴㈰㜸㠶攳敤㌷扢㥣改ㄸ慦愶㠳昴㈰ㅦ摤㈶㉦慦㔳㘷挳㈸㍤戸㠶〵戱㑦昹㍤ㄷ㕡改挱晤扣㍤攸捥㉥ぢ㝤㝢昰㍣㌸㐹て摥㠴慣搰㠳攷㈳㉤晢挳捤㐸㕢㍤挸㥢㕣改㈴慥ㄵ攰昶〰㤶㤴㤱㔴㈴㤴挶晤捡㜴ㄶ敦挵挶换摥っ敤ㄶㄷ捡扥捡昳敡㑢㈸㡢㈵㘵㌴捦㝢散㌱摣搶っ㈵愲㜱摣㐲捦〷㉦戰戳搷㙦㠵㡦㝥ㅢ㐴㤰搱㉣㐲㑤㘱㜶㘱㙣㡢愸㕣㤴扡ㄸ㉡㘱㜳愶捤愶捣㉥㜷㌱㤷扢㈱〲挱㑢〰愸戸㍦㕣敡ㄸ敦愳㠳戰㜹ㄵ搹扣㤲扣㕤づ愳戰昹㈰㡣㉥㥢㔷㐲㉢㙣㑥昴㘵㜳て㕦㌶ㄹ㡦㈲㙣㍥㠴慣挰收搵㐸戳㈱摡敦㤱戶搸㐴㌴㐱捣挰㄰㑣攰挴㌱㠶慢㈲愹っ收㥢㔸搶㡣攳㌰ㅣ㑥㤸㐹敤㘱ㄷㅡて㘱戵㤸换㘰㠷挸攵㘳㔸ㄲ挲㙥㐴㜱攴㑤攴挲㤱ㅣ㙥搶〴慦戱戳搷ㅦ㠱㡦晥㈸㐴昰㕡㐷㔵㘰昳㍡㐷攵愲搴つ㔰〹㥢㌱㉦㥢㝦㘴㉥㑦㐱〴㠲㌷〲㔰㤱捤㥢ㅣ攳㜳㜴㄰㌶昹㔰㌹㜹ㅤ㘱昰㘶ㄸ㠵㠲扦挰㌸愴扥昶搷㐸敦㔶昹㔷搷㥥㔸㠰㌱昸㤱㘲搱扢敡愶攰摤㜳慢㐸摦〰㍣㡡挷㝡㠰㑤㑤昵慥㍦㉥㉦㕥㉣攷㑦㔳昹慤摤ㄱ慤晥㕦攴挳㌱㔲戸挲捤ㅣ户挵㔷㝦ㄱつ慥扤〳捤昵晤ㄱ㘴改慢㡤扤慦ㄸ攷攵摤㑤摡㘷㜴㈳㑡〲㑦敢㥦摦搹攴扥攷摣㝡摢ㄳ昴㘳㥣㔷愸㡤㜲攲㈹挶戴㍢扦㌱㜶摣㘶㜷戹㝥㜸㈵ㄹ愲㘸挴てて戸摡愴㤰昲㍣〰㘸慢㠲ㄶ㍦㉢挷て㕥捤㥣㤳㘳㌷㝥搹㔹㔳㍤愰散戱昷㜲㙦挵㝥愳㌹㥦昸挳摣昰㝡挰ㄹ戹慤搰㠲慤㝣ㅥ㝦㌴愹戵㐷ㅥㅦ戶㌹散㑡晦つ挸搱㕥〲㑤〳㈷㡣㙣摡ㄳ敦㉤慦ㅤ㠹㥥㈸晤㤹㕦挵㐲㡡㜹㘷㤱ㅣㅣ〱晤㘵攴愸敥㐴摥㈴㕦改户戳㤴㔷愱㉢㝦㈱㈶㑡㙣㐰㠹扥㡦ㄱ戴㥢㠵㌰ㄶ㠷㤷㈹ㅤ扤晣㉤㤷愷慦㔹㈶㍦〱晤㜵㤶挹㝤㡣㉤㘰㌵搴摤㐸㌰㜳摡敢㝦㠷〴昷㥦㤲ぢ昷晣愹愶㝣㈶㕡晦搵㑤慣扦捦㐱ㅥ慣㐶㥣搳㔴晢摡㌱愵捦攷㍦㘲攳㕢愷扤㝥昸㜹㡤㙡㉤㤰㈳攰愷慦愵㔸㐷挱㝤㑦㙤㠵㐲㝤㥦㈷扢愵㙤㈸㝤晤㔷昰昷挸㐹昶搱㜷搰㡡㈱昵敡㌱愴戹㥦慡捤攱挱㥤㐳挶昳扢㙣攲ㅦ愱戶㘸㝤ㅣ㕢摡㝢搰㘹ㄳ㐶敥㌷㌲ㅣ㔲ㅢ〳挸搶戳㥤〱晤㕦㐴㍦攵愲晦㐰昴㠷搰㔵㝡攵扢ち挲搵攱㉢愰㝦㑣昷愷㕤昷㈷攸晥㠹㔵搸扥㉣㙣戰㕤ㄸ昴㈸散㌳愲㥦㜱搱㑦ㄲ晤戹㠵㕥㐸㜴㥤㡤戶挶挷㤷㐴㍦ぢ㡣㔳㕢昵㈷㍢㠱晦慡搴㜳㜶㐲㝡昱㜹㈴㥣㕡搵晦つ〹昶㘰扦扤〸っ㍥挱㠹昲㕦搵挶ㄳ敢㕦㜲㍣㉢昵慡㠵㜴挶挳挶戶攷挸㠹敡㌵㜸晡昵昲〰㌴挹户㤷慢㙤㐳改㍢捥㠲㙦㈱㈷改攵敦搱㝥昴昲㍦㤰㤶㕥慥㠲㠷摢换㝣慦扤晡ㄷ㑣㔶㉦扦㡢㉤㙤〰㜴攸攵愶㐹㈳ㄳ敡㥢㉦慤㕥㠶ㅥ挴搷ㄲ晤㠱㡢晥㈷搱〳愱㉢㝤摢㝣㐲㝤〱㍦㠷挸㠰慥搳敦㐳搷敦㍤晡つ戲㑢㘹㐲㈹㥦摡愵㔸ㅤ㌶㠴攸㡦㕣昴晢㐴搷摢攸㘶愰㍦戲搱搶挸ㅢ㐶昴挷挰戸摤晢㙦㍢㠱晦慡搴㈷㜶㐲扡昷㔳㈴㥣㕡搵㝦㠵〴㝣㝦㐴昷㝥敤㜸㔶敡㕥㙢愷㍤愱搱搹㜹慤愷ㄸ㕣㠴摦㐵愳捥㝥摤晢ㅥ㥡攴摢扤晦戴つ愵㙦㜰ぢ搶㈰㈷改摥捤搰〶㜴㙦ㅤ搲搲扤晦㠰㠷摢扤㕢㤰㥣㐱㌰㔹摤换昸ㄹ㙤㉢攸散ㄹ㌸慤摥戲戹戴㤸摦㠶昰挱㉥㥣㌱㌴摡戶搰昹㑣愵㘹昵ㅡ㕣ㅤ㌲〳晡〸挰敡ㄹ晡㠲扦晥㈹慤ㅦ敥㈰㉢㔱㜸捦捦㑥㝣㙦敥㍤て㌴㉡㐶挷昸㔱昶㤲捤㑣搹㜳戴晦㘶ㅢ㑡摦昹ㄶ㘴㈸㡤㔰㌶ㅡ㜵〵㘵つ㐸ぢ㘵㝦㠵㠷㑢搹㑥攴㘰ㄴ㑣ㄶ㘵㈳戰愵㡤㠱㡥㝢㐴搳挸愴㝡ㅥ㘰㘷搶挷敢晡㠸摥挱㐵㌳㑥㐶摢挵㐶㌷〳晤㡣㡤㠶ㅥ晢㑦㤸攸搱㉥㝡㝢愲愳㌶㝡ㄲ搰㑦摡㘸㡣㉦愰攳㐴㌳㑣挵慡挹㐸愲㤳搰㤵敥㙤㐹昵ㄸ晣ち㕤㤱愶ㅦ㐳㘱摣㍤㠲㈱㌱㑣㌰㕦㌵挶㑥挸ㅥ㌱ㄶ〹挷戳㥥㜱㉦昰敤扦晢㠰挱挷㌳攱㐵ㅤ捦㑡摤㘹㜹攰㘵摤捤㕢扦昷㐶㘲换㐶敢晦㥤ㅢㄵ㐳㘷晣扡昷㈱㌴挹㜷㡦㔸㙦ㅢ㑡摦㘸ㄷ㘴㥣㡤㜴㙦㈳摡㠰敥㥤㠸戴㜴敦㕡㜸戸摤摢㐴㜲㥡㘱戲㐸㙤挲㤶搶っ㥤扤㐷㠴搵晤㐰ㄷ晡㜷ち攱㤳㕤㌸〳㘶戴㘹搰昹散ㄱ㘱㜵て㕣ㅤ㌲〳晡っ扡昲㉣摦挹㑤㑤㐵挲戱搷㌳〲〶㝦晤㤳㕤扦㤷㠳慣㐴慥扢慦㌰㐸挶㡦捣㍢㙣捥捡昶㤵摢㙤㐳改摢昱搴〲攴愴㔰㍢㝤㌶㕢㠱つ昹㉥㜴戴㜳愰攵㠷㘳㈸挸搸ち㈱㝥㉥戴晡㍥㄰㐳㠶〶ㄹ㕡㈱捡㜹㑣搷㉢㠶㐲㐸㙦摣㡣㈲搹ㅢ㡣昳慤挳ㄳ㐴ㄸㅥ㈱㠶㥢㙣挳㔰ㅡ散晣扦昸㕥ㅤ攲搸㙦戴敤昵挵昶ㄶ挷㝥㠳㙤攷㉡捤攳㝦愸㘳扦摥戶换敡㘶㝦ㄴ愰㜲㌰ㄵ攸摡ㄳ㑤戴㤶㔴㔷〳改㍢昶慥戲つ愵敦㉡ち㉥㐲㑥搲摡ㄶ慢戵㑢㥤㐲慦昰ㄶ㙡戰㔰挶㈱㔸㘳慦つ㕢㕡ㄶ㍡㥦挱㤴㔲㤷挰搳ㄹ㉣〱摤愴㉢㠳ㄳ㉣㔷〶㐰㘸㡢愰戳㠷㙤㑡㕤〸戸㌳搰〲㝡㉢㑣昵扤〰攱㙦〳㐶搸㜲〷㔹㘹㠴㌹㡦攱㔱っ㘷㈸㔰戶づ戹㕢㤴㥤㙢㌳㔳㌶挲捥戱つ愵㙦㌷ちㅥ㠳㥣㠴戲㑥搴ㄵ〳攴㜸愴㘵ㅣ㥣〵て㜷㜷㍤㡣敤收摤㝢慢摤㈷㘰㑢敢㠶㡥戳昱戴㤱㘹㜵㕡㔱戳㝢㠹㘶愸㠰㠵㍥㤱攸ㄵ搰㙤攲㍥㠱㔴ㅥ扦搰戰㐳挳挸㘶㌸㥦っ攷〲挵慢攸捣㄰〳换昹㈴㍡ㅦ㘱ㄷ㌵ㅤ攸ㄳ散愲慣挹昹㈸愲㑦㜵搱慢㠹㍥挶㐶捦〰晡㔸ㅢつ㍤愶昲攳㠸㍥つ摢散㈲慡ㄴ㘳ㄶ㤸㤰㈹㤹戱ぢ㑥攷㈹挶㌰㌸戵慡㍦ㅦ〹昸昶摦㠷挰攰攳㤹㤲㉦㜰㍣㉢昵㘹㔴㍥て搹攷㈴捦㌴㕡改攷ㅡㄵ㘳ㅢ晣晡昸〸㌴挹㜷户㌸摣㌶㤴扥挰㈹㜸㌹㜲㤲㍥㕥㡤㌶愰㡦慦㐶㕡晡㜸㈵㍣摣㍥㍥㠵攴㕣〷㤳㐵晣㌵搸搲㑥㠵捥ㅥ摢〹搵㘳㜳㘹㉤㔲㑥㈷㝣㡤ぢ扦㤶昰㌳愱昳搹㡢ㄲ㙡ㄹ㕣ㅤ㌲〳晡搹㠰搵㌳㍡〱㝦晤㔳㕡捦㄰〶㐱㔶愲搰㕡摦摤搹愸敥〰捣㡦戲愵㌶㌳㘵扢挵ㄲ摢㔰晡捡愷㈰愳ㅤ㠴戲㕦愲慥愰㡣㈱ぢ㐲搹㘲㜸戸㤴㕤㐴づㅥ㠰挹愲㡣㜱っ摡挵扥ㅣ㐴挲㉡㔷挴挱愵㜴㝤搰㜵㘵㕣㠳㜶㌹㜴ㄶ摢㠰ㅦち戸㌳ㄸ〳晡㤵㌰搵㍦っ㄰晥㌶㠰戲㐷ㅣ㘴㈵捡慣㤹攴摥㐶昵〴㤰㝥㤴ㅤ㘸㌳㔳㐶搹〱戶愱昴㈵㔱㐱㠶㌴〸㘵㙢㔰㔷㔰昶ㅣ搲㐲搹㝥昰㜰㈹扢㠱敤晥㌳㑣ㄶ㘵っ㔶搰㙥㜲摢ㅤ㡥愹昹㐵敤扥㠵㜰㐶ㅢ㔸昰ㄷ〸扦つ㍡㥦㔱ㄶ㔳㜳攰㕡ㄸ㘵扦〱慣㥥㜱〶昸摢〰捡㕥㜱㤰晤㔲昶㈶㤰㝥㤴敤㘵㌳㔳㐶搹㥥戶愱昴戵㔲挱㜷㤰㤳㔰昶㕢搴ㄵ㤴扤㠷戴㔰㌶ㅤㅥ㉥㘵昷㤲〳摥㠹户㌸㜸ㅦ㕢摡㝤搰つ㥢戰㥤晤㉣〶㙢㈶つ㈷搵攴㈲〶晥㠷㡥扣愳㙦㌹㌲㍥㐱㝢㄰㍡㡥戱收㤱㠰㑦〴摣㤹ち〳晡㍡挲ㄹ㌰㘰挱ㄹ愳愰㍤㘴挳㥢〸摦摤㠶㕢ㄳ挰挳㠴㝦攲挲ㄹ愷愰㍤㙡挳㈷ㄱ㥥戲攱搶㑣晤㌸攱扣㝥敦ㄴ愸㍥戳ㄳ㌲昷晥挷㑥挸㜲㤸㌱〹㑥㐷搶㌳搰〰扥晤㜷㈱㌰昸㜸收摥敦ㅣ捦㑡㕤㙡㑤ㅣ㍤昶〹攲〹㡤搶ち敥㡣㐶㌵〰㈷敢㝥㕤ㅣ㐵㤳㝣攷摥㠸㙤㈸㝤㜱㔶㜰㈰㜲㤲㉥㝥ㅡ㙤㐰ㄷて㐲㕡扡㌸〴て户㡢㥦㈵㌹㐳㘱戲愸㘷挸㠲昶ㅣ㜴ㅢ戹㐷捣㜱つ昶〳㈲搴㔸㌸㍡攴〴昴ㄷ攸㔹敦㝡づ愱攷㕦愰攳㤱㜹㑦ㅣ〰㜷〴扡㌰㡤扣〸㑢㍤㘳つ挰㑣晦㠴搶㌳㈰㐱㤰㤵〸ㄴ挶慢㥥㘹㔴㕢〱改㐷搸昶㌶㉦㘵晢挴㜶戶愱昴㐵㕢挱㙤敤㌲昵㔷㔱搷㈱〳搴昶㐸ぢ㘱つ昰㜰〹㝢㥤捤㘶戰㠰㐵ㄸ愳ㄲ戴㌷愱㉢㈷㉣愹戶㠶㘳㠱戰户改㌹摡昵㘴㤰㠲昶づ㜴ㄶ㘱㐹戵㌹搰〵挲摥㠵愵㝥ㅣ㌰ㅢ㐶搸㜸〷㔹㠹㌰㜷〵ㄷ〵搲㡦戰攱㌶㉦㘵㠴㙤㘴ㅢ㑡㕦捣ㄵ㑣㈲㈷ㄹ㘱ㅦ愲慥ㄸ㘱扢㈱㉤㠴〵攱攱ㄲ昶㌱㥢捤㍢昷ㄶ㘱っ㍣搰㍥㠱㡥㜳㐱搳㐸ㅣ㙦〶ㄷ戵晢㌳挲㜹㡦摦㠲㑦㈰晣㜳攸㑡攷ㅣ㌸搶挱戱㐰敦㤷㜴攴㝤㝥换㜱て㍡㝥㙤㤷搳捣㜲㙡散㜲㐸㘸㐰晦㤶昰㘶ㄷ摥㐸昸昷㌶㝣ㄲ攱㔵㌶摣㥡㐴ㄴ㝥㐱㔰扦㌷㐱ㅢ㌲㝥慤搱改㤹㄰㘶㌹㥥㤵扡挷昲愸慡㉡扥㘲㜴㐳愳㥡〷㑦扦敥晡晡㡢ちㄳ挲㔷戶愱昴㌵㘲挱㝤㤱㤳㜴搷㐰戴〵摤㜵㈰搲搲㕤㕦挰挳敤㉥ㅤ㐶挵摢晡ㄶ㡤㡣㌲搰〶㐱㘷㉦挶㐲敡㔳愰ぢ挳㜴〸攱㉤㉥晣㘰挲敢愱昳㌹㑣㠶搴㐷㜰㉤㜴搸㌰挰敡ㄹ㈰戰㘱㈳㥣㔱〴㝤㑥〹搶〸㝦扣㔱㉤〵搲㡦戲昷㙣㘶捡㐶昸㍦㙤㐳改㡢挷㠲㥤挸㐹㈸摢っ㜵〵㘵摤㐸ぢ㘵晦㠰㠷㑢搹ㄶ攴㠰㜷昸㉤捡ㄸ㑡愰㙤攵捦㐱㕣扤㔵挴挱㌶㜴㕤攱扡㌲戴㐰摢ㄶ㍡㥢敤戸㝡つ昰〲摢㈳㘰慡㍦ち愰つ愳㡣愱〲㝤㔲收㥣〲愸攳㠱昴愳散㈵㥢㤹㌲捡晥㘶ㅢ㑡㕦㔵ㄶ㕣㡤㥣㠴戲搱愸㉢㈸㍢ㄵ㘹愱散慦昰㜰㈹摢㠹敤收捤㜲㡢㌲挶ぢ㘸㘳散㜶攳㠸㥦㔶捦ㄷ戵㝢ㅣ攱扣换㙥挱㑦㈷㝣ㄷㅢ㡥昵㐴㕡㍤㘳挳搹㕡㕣㘶㈳㥣㌷昱㉤昸ㄹ㠴㐷㙤㌸ㄶ〸㘹昵愴つ户昶敤㌸攱攷扡昰㌳〹㑦㐲㔷㍡攵挰昱㌱㌸ㄶ㐶㜰ㅡ愰晡㑢〹晦㔱㤳〲攳〰挴戳搲愴㔰扡㑡昸敡攸㈵昷昷㥣㝢㜲愳扡ㅡ㥥㝥摤昵㄰慡攷扢㑡㔸㙦ㅢ㑡㕦慣ㄶ㕣㠳㥣愴扢ㅡ搱ㄶ㜴搷㑤㐸㑢㜷慤㠵㠷摢㕤㑤㘴攸㔶㤸㉣㐲ㄹㅣ愰㌵㐳㘷て搳愴扡ㅦ攸挲㌰㥤㐲昸㙤㉥晣ㄶ挲愷㐱攷㌳㈹㈴搵㍤㜰㉤㔰㍡〳戰㝡摥搷摦戰ㄱ捥㥢晦㝤㡥㜰㡢挲㙢ㅡ搵㝤㐰晡㔱㜶㠷捤㑣搹〸扦摤㌶㤴扥㡡㉤昸㈰㜲ㄲ捡㘶愳慥愰散㈱愴㠵戲㕦挳挳愵㙣㉥㌹攰㉤㜷㡢㌲㐶〰㘸昳愰戳㈸㡢㠴搴捤㐰ㄷ㈸㕢㐰昸愳㉥㥣㔱〰摡扥搰㤵㔳〶搷敢攱㕡愰㙣㝦挰敡晦〸㠷つ愳散㈹〷㔹㘹搴戹㤳挲㜳㐰晡㔱㜶戵捤㑣ㄹ㘵㔷搹㠶戲㤷户晤〵㌹昹摥㜵㤵攷摣㡦㤷愷搱昳㈹ㄱ㘶户㈸㜸㠵慦㌶捦挷〸っ捡㕢㙡摥扦㤷挷㥥户挹㐳㈱〶攳㕤㑢㕤㑢捤慥㤹㜸愵ㄸ摥戰㌴慦戵摤㝥㉡〱㕥㌵挶攷挰㍡㙦昳搱㈵㐵㘷㉤㍦扢ぢ慦昷ㄹ㤸㥦搱㡤㠷㝢攷敡摡攷ㄸ㍤㍤㘶㔷挷㑦攱ㄷ㝦戸㉢㔴挳戳て㐴㍡っ㔰慡慡摡昷〹ㄹ㝣昴㠵敦慤㜲㡢挲〲ㅦ捥〳㥥慢昹㡡愶ㅦ昷㝢㍦慤㠵㈳捦㝥改㔸捥昳搲戱㙡㜵〵扡搸ち㠱㍥戶敡㝢愹㌳慥〱敢〶昰㕡〶㘲〰敥㥦换愵㘲㠸㠰㥥㠵挶㝡挹ㄳ㥦ㄶ㡤摦晥㘱ㄸ㤴㌶㡥捦㉣㤹捡搶搷慥㘸捤昵㉣搶ㄶ㥢慤㡢ㄶ昷攰搹㈴㠳搸㘲攷㔳昳㌲㕣晢㡡㌰攰㑣㍥戰扤挵攸敡㌲㔶搵戵户戴㤹ㅤ㡢㝡ㄶ搷戵㉣㐷㐰〵㕥㤶㠶㝡搴搵搵改㈶晥㘷㔱㜲慡挷㕢昸捣㔵捦摢㕡㤶愵摥㠱㠶愳㔵㕢〴慤昷戱㑢㕥ㅡ㙡搴㠵扥㌴戴挲㐷㕢〲㔱㑣挳㔲㘸㍣㌴㈸摥㔹㈷ㄵ捥㐷晤ぢ〹愹㑡㍢㤰㙥〵㜹㑦㕣戴慣㍥戵晣㈸摥晢ㄶ㙤愷ㄷ换㝢摣愲㕤收搵㝥て慤㌴收㌰㘸㉢㌷收っ摦挶㜴挳㐷攳ㄳ㤴㡢ㅢ搳ぢ㡤户㌱ち㐷戰愲挶搴㐲㈱㔵㔹〱愴摢ㄸ摤搱慥戴戵搲ㄸ摥改ㄵ散㉡㉦㜶㤸愳㍤摣慢摤っ㕡㘹捣ㄱ搰晡て捥ㄳ㝣ㅢ㜲ㄴ昰摡搱㄰挵つ㌹〶ㅡ㙦㐳戶㐰晥㐵つ搹挶愹挶㜱㐰扡つㄹ攱㘸㝦㙥㙢愵㈱愳㥤捡ㅤて㙤㘵愶㡦昴慤攰㠹昰搱㑥㠲㈸慥攰㙡㘸扣ㄵ摣愹戴㠲扣昷㈸散㥤〲愴㕢挱戰愳晤㠵㔷ㅢ㜷戴愷㝡戵㘹㐷㝢㥡慤㤵挶㌴㐲㉢㑣㥦づ慤㍦搳㕤扥つ㌹ㄳ㜸敤㉣㠸攲㠶㥣つ㡤户㈱㑤挸扦㠸改㈹㑥㌵捥〵搲㙤挸っ㐷㝢㥥慤㘵攵㠲戳愱攵㠱㑥㍦ㅦ㕡晣㍥㠰㜷愲㜸㌴ㅥㄲ㔴㜳戱㈹〷攲㈵愸ㅤて挴㥢㐲㕦愷昰搰㙤挷搰㙡ㅢㄸ㍤㔸㔷㠷㤷㌰㝦慦㜸㝢㑡ㅡ㝢㈱昲慢㐷戴㤴㤹挵㜳收ㅢ㤶㌳㠰慡扢㕡㉤㜲ㅡ晡㕥㘴㡢挲㝣昷㉢㘰戵㡢㈱〶攰㡤〳㡡㌵㤶昹敥ㄲ㘸扣つ摤ㅦ㜹戳愱ぢ㉥晡摤挴慡搸挱㑤慡挵㈹散㌲㈰晤㤹㌵㥣〲慢扣ㄳ散ㄵ㉣昰㑡ㄶ㔸㌴挱㕥㔵㔲愰㘱ㄷ挸ち昱愳㑣㈸㘴㠸㕣〳愴搴㤳摡㔶㐷㝢慤慤愵㐵㜵㍡㤵扢づ摡捡㘳㜸㝦摦ち㕥てㅦ敤〶㠸攲ち摥〸㡤㤷㤱挳㑡㉢搸敢㔴攵㘶㈰摤慥㕦攵㘸㙦戱戵搲㤸愳ㅣ敤慤㕥散㜱㡥昶㌶慦㜶㌵戴搲慤扦㠶搶㥦改搹扥つ戹ㅤ㜸敤づ㠸攲㠶摣〹㡤户㈱愷㈰晦愲㌱捣扢ㄲ挲昴摤㐰扡つ㌹摢搱晥搶搶㑡㐳㝥改㔴敥ㅥ㘸晤㉢㌷捤户㜲扦〳㕥扢て愲戸㜲昷㐳攳慤摣㐵愵㤵扢搴愹挶〳㐰扡挳攰㑡㐷晢愰慤㤵㘱戰挶愹摣㕡㘸晤㉢搷攸㕢戹昵挰㙢て㐱ㄴ㔷敥昷搰㜸㉢㜷㐳㘹攵㜸愵㕤㤸㝢〴㐸㤷戹摦㌸摡㐷㙤慤㌰昷㕢愷㜲㡦㐱㕢㜹㡣㈶㝤㉢昸〷昸㘸㑦㐰ㄴ㔷昰㐹㘸扣ㄵ扣户戴㠲晦攳㔴攵㈹㈰㕤昶搶㌹摡愷㙤慤戰昷戰愳㝤挶慢㝤摣搱㍥敢搵昲挲慣㡣搱㍦㐱敢捦昴㌸摦㠶㍣て扣昶〲㐴㜱㐳晥っ㡤户㈱捦㈲晦愲㌱晡㠲㔳㡤扦〲改㌶攴㐵㐷晢愲慤㤵㠶昰㈲愸㔴敥㙦搰晡㔷㙥㤴㙦攵晥て昰摡换㄰挵㤵㝢〵ㅡ㙦攵㕥㉦慤摣摢㑥㌵㕥〳搲慤摣扢㡥昶㜵㕢㉢㤵攳〵㐷愹摣ㅢ搰㔶ㅥ〶摢昸㔶昰㉤昸㘸㙦㐳ㄴ㔷昰敦搰㜸㉢昸㜱㘹〵㍦㜳慡昲て㈰㔹つ愹捡㤷㡥昶㕤㕢㉢攳昴㕢㐷晢㑦㉦㔶㈱㈱㈳晤㍤慦㜶㈰ㄲ搲㤸昷戱攱捦昴㜰摦㠶㝣〰扣昶㈱㐴㜱㐳㍥㠲挶摢㄰ㅤ改愲㘱㌰〴ち愹挶扦戱攱㌶㘴㤸愳晤挴搶㑡㐳㌶㐳㐲㉡昷㈹㌶晣㉢㌷挸户㜲晦〱㕥晢ㅣ愲戸㜲㕦㐰攳慤摣ㄶ㐸ㄷ㔵㡥㔷挴愴㜲㕦㘱㠳㤵㤳㙡㡣㜰戴㕦摢㕡攱㝥㌴ㄲ㔲戹㙦戰㔱㜹ㄸっ昰慤攰㜷昰搱扥㠷㈸慥㘰㔵㕤㜱〵㜷〲愲愸㠲攳愰㤰ち㔶〳改戲ㄷ㜶戴〳扣摡戸愳慤昱㙡搳㡥戶搶搶㑡ㄳㅢ愱㤵挶㘸搰晡㌳晤攵攷㝥㈷㕦㜵挰㙢㍡㐴㜱㐳〲搰㜸㤹㙥㐲晥㐵つ㤹攲㔴㘳㌰㤰㙥㐳㘶㌸摡㈱戶㔶㉡㌷摢愹摣㔰㘸晤㉢昷戱㙦攵㠲挰㙢挳㈰㡡㉢户ㄱ㌴摥捡捤㉤慤摣〲愷ㅡㅢ〳改㔶㙥㝦㐷扢㠹慤㘵攵㙡つ㘸㌷昸搴㔸挱攳㐷㍥㔱㘶㔳ㄴ慡㜸㑥换㍣昴捤㍣ㄵ慢㌷㙤㙤ㅤ捦㐳敢昳㑥ち〹慣戶㤰㘲ㄵ昵捤改捦㤳㐱昱摦挲敢摦敥㜸㠸㍦㑦昸㠸〱〲戹㜵㍡㈹戱㉤昳愶ㄴ㑦搲㈴敦㉤㤹㜷慦㙤搳户昲收捤昳㌰挹㑤晣㔷㍡㈹挹㝢㤵㤳ㄲ摢攱摥㤴攲㜹㤳攴扤㌵昳收改㤲搴㝢ㅢ㙦摥挷㜹㍤敡㜹㑡攴搶㕢㥤攸昸晦㡣晥㍣㥢ㄱ晦㙤扤晥愷㌸ㅥ㔲㍥捦㔸ち㌵攵㤹㑡㈱挵㌳㤴㐲摥㘷㈲㈵㜵㙢㘰摥㘷摢㌶㝤㠴㌷㙦㥥㑣ㄴ晣㜹ㄲ㔱昰㍦ㅦ㈹㌹㔵㜸〵愳㤶愷ち㡣㠲搱户㘷㘶扦㠲㐹戲ㅥ挹ㄴ㤷昴㜴搳㐷㈱㠵㍦昹㉡㉥挷〵戳〳㌱㕣㠵ぢ㘶㌴㔲捥㔸慤攷㡡摢㉤戰晥㕡㈷挵㠶㉡慥㤶挵㝦㐷晡㜳㤱㉣晥㍢㜹晤戹㈰ㄶ㝦愱㠶ぢ攱㐲㙥㕣〰ㄷ㙣户㜹㔳㡡ぢ㔸挹㝢㘷收捤㜵慢攴㍤挶㥢㌷搷愸〵㝦慥㑤摤扣搵敦ㅣ晦戱昴攷搲㔲晣挷㜹晤戹㡣㜴㍤敡戹㝣㜴㜳㔳㕣〶㑡昹攳改捦搵㥦昸敦攲昵攷㑡捦昵愸攷ち捦捤㑤㜱㤵㈶晥㈱晡㜳㜱㈶晥㘱慦㍦ㄷ㘲慥㐷晤搳㑥㑡㤸攲挲慢㤰昷戳摥㤴攲挲㐹昲㡥㌰㙦慥㤷㈴敦愸㌷㙦慥㡤ち㜹扦攸愴愴摦戸戶ㄱ晦ㄸ晤戹愴ㄱ晦戸搷㥦换㤷㠲晦敢㑥㑡晣戹昴㄰晦〴晤戹攲㄰晦愴搷㥦慢ぢ昱㤷搶扣敢愴㌰㙣慡敡戹㥡㈸搸戸㡡㜰㔳㡡慢〱挹㍢挵扣戹〸㤰扣搳摥扣㜹挰㜷㍤敡㜹愰㤷ㄴ昳㔶㍣㘰㡢晦慥昴攷㜱㕡晣㜷昳晡昳㤸散㝡搴昳㔸散收愶㜸㍣ㄵ晦摤改捦晤㐴晣㈷㜸晤㜹挸㜴㍤敡㜹愸㉣愴㜸㠸㉣愴㜸㘸㤴㤴搴㡤㠷㌸挹㝢て慡㜹㘴愳㑤㙦挴㠶扢扦昱㈸㔶昰攷搱慢攰捦愳㤰昸㑦愴㥡〷ㅦ昱㙦挲㠶敢捦〳㑤挱㥦〷㤸㠲扦捣晣㉣㜱ㄲ搴捥㈷挸㈳㠰摣〸㘸挶㠶㍥ㄹ㘲挸㔰㈵㤳㍣愱㔳扣㔰㑥昶〲㥤㑡攸㌴ぢ㉡㜳㌶愱搳扤㔰捥摤〲㥤㐱攸㥥ㄶ㔴愶㘰㐲昷昲㐲㌹ㄵぢ㜴㈶愱㝢㕢㔰㤹㙤〹㥤攵㠵㜲搶ㄵ攸㙣㐲攷㔸搰〶晣㈷㐴捣挵㠶昳〹㜲ㄲㄵ攸㍥搸搰攷㐱っㄹ㕡捦愹㜱㕦㐰慡㔷慡散愱戹㐳て晤愲扥愶㘱换㥡晤㈶づ扥攸戵㍦扣㜱捥昳〷㑤㜸攷㥢㑢㉥㜹晥慤㜳㥥晣收晥捣㠴㐷慦扡敡昷㝢㕥晥攴ㅢㅢ攵慦愸扥晢㡢㤹㔷ㅣㄹ㕥㝡攴㘱昹〵㍢㑦㍢㜲晦㈵㜳挳㜳㠶㡤ㄹ㌰㘰攰挰搱挳ㅦ摢㝣挷攰戱㠷摤愳搶扤戸㔹㠷㤲搹ㄶ〵攸昳㔱ㄲ㉢挵攱ㅦ攴慣㉢㜵㔹㠰つ㝤㈱挵扥ㄴ晢㔱散㑦㜱〰挵㠱ㄴ〷㐱っ愹㔳㌲㈵㌳愳㠳㤱㜶㍥㐱㑥捤㤲搱㈱㠴戶㄰㍡㔴挹散㑢攸愱㕥㈸㘷㘱㠱ㅡ㠴㘶㉣愸㑣愶㠴㘶扤㔰㑥慡〲捤ㄱ㙡㕡㔰㤹㌷〹捤㝢愱㥣㍦〵扡㠸搰挵ㄶ㔴愶㐸㐲㕢扤㔰㑥㤵〲㕤㐲攸㔲ぢ㉡戳㈱愱㙤㕥㈸㘷㐵㠱戶ㄳ摡㘱㐱㘵㜲㈳戴搳ぢ攵㈴㈷搰㘵㠴ㅥ㘶㐱㘵ㅥ㈳戴换ぢ攵㝣㈶搷搸扡〹敤㈱戴㕡挹㤴㐵㘸慦ㄷ捡愹㑢㜲㕤㑥攸ち㐲㠷㉡㤹㠱〸㕤改㠵㜲㈶ㄲ攸㉡㐲て户愰㌲搹㄰㝡㠴ㄷ捡㐹㐷愰㐷ㄲ㝡㤴〵戵收ㄵ愴㡦昶㐲㌹扦〸昴ㄸ㐲㡦戵愰㌲㑤㌰搷攳扣㔰㑥ㄷ〲晤㌹愱挷㕢㔰㤹ㄱ〸㍤挱ぢ攵捣㈰搰ㄳ〹㍤㐹愰㐱敥晣㔴攲㔲㈳昷㜸㔹㍦慣戲搷て〲㍥ㄹ㕡挵㜹㐰㑣㉢㙣搳㈴戸攰㉡㘴㤰ㄳ㠲敤捥㔹㐰㌰换扤敥愷搲㥤㜳㠳㤸㝡㑡摣㌹㐹搸敥㥣ㄹ〴搳敤㜵㍦㠳敥㥣㉦挴㜴㔸㠹㍢㈷づ摢㥤戳㠵㘰㤶㜹摤捦愶㍢攷㄰㌱㜵㤴戸㜳㌲戱摤㌹㠳〸愶摤敢㝥ㅥ摤㌹慦㠸㘹㘹㠹㍢㈷ㄸ摢㥤戳㡡㘰㤶㜸摤㝦㐹㜷捥㌵㘲㕡㕣攲捥㌹㠱敥晡㐵搸挰㉤㔷捥〶〲捣㝢昳戸ㄸ㕡挵㌹㐲㑣㌹摢挴㜹㈴愰㌸㙢㠸㍡㙢慢㠷㠹㥡昳㠸愸㌳戶㥡㤷㡣〳㡡㌳㡢愸つ㕢捤ぢ挶〱挵戹㐶搴㠷摡敡ㅤ㐵捤搹㐷搴㉤戶㝡㈷㔱㜳㍥ㄲ昵㈱戶摡ㄹ〸㥣㤸㙣㌲㌸ㅢ〹收㘰ㅢ㈳慤扣〶㕡挵㌹㑡㑣〷㤶戸㜳戲戲摤㌹㐳〹收〰慦晢ㅡ扡㜳摥ㄲ搳㝥㈵敥㥣挰㙣㜷捥㕡㠲搹搷敢㝥㈳摤㌹㤷㠹㘹㐱㠹㍢㈷㌵摢㥤㌳㤹㘰收㝢摤㙦愱㍢攷㌷㌱敤㔳攲捥㠹捥㜶攷散㈶㤸戹㕥昷㕦搳㥤㜳㥥㤸㘶㤷戸㜳昲戳摤㌹攳〹㘶㤶搷晤づ扡㜳ㅥㄴ搳捣ㄲ㜷㑥㠸戶㍢㘷㐱挱散攵㜵扦㥢敥㥣ㅢ挵㌴愳挴摤㤹㈴ㄵ攷㐵㐱㑣昷㍡摦㑢㘷捥㤶㘲㥡㕡攲捣㘹搳㉥㥢㜳愵㘰愶㜸摤敦愷㍢㘷㔰㌱㌵㤷戸㜳㉡戵摤㌹㝦ち㘶㤲搷晤㐱扡㜳㔶ㄵ搳挴ㄲ㜷㑥慦戶㍢攷㔴挱㌴㝡摤搷搳㥤㌳慤㤸㈶㤴戸㜳捡戵摤㌹捦ち㘶㜷慦晢挳㜴攷散㉢愶㕤㑢摣㌹つ摢敥㥣㝢〵㤳昶扡㍦㐶㜷捥挸㘲㑡㤶戸㜳㙡戶摤㌹ㅦぢ㈶攱㜵㝦㠲敥㥣愵挵ㄴ㉢㜶㔷㥣㤶戹晡ぢ㈸捥戰搶ㄶ㈷㑢㙢㡢昳㥥戵挵㈹捣摡攲㙣㈴㕢戵㥣㜰㐶㔶㝥收㐰攱戶㍢㜰㔵㝡晢㍣扣慣㠲㌷攰〳敤晣昵戸晣㤲㕣㙢㥦户ㄸ㉦戳ㄸ㘶扦㠳㜹㡣㡢搹挸搵戸搸愱慥㑡㝣戶㘸敥㙣㕦㘶㜴ㄹ㤹㌶㤳㤰㌱㠵㑣㌷㈹戵〸ㅥ挷㙣ㅥ戶慢戶慢㕣㘱愷㠲㝣㙣㐱㥤摡㘰㘰㥤愲㠳晥㐷戴ㄲ㔷㌶昱㉢㝢㜷㑢㤲㡡㔳㉦〹搳㥦挲㠶攲晣㘵ㄱ挹愹挸摡攲慣㘲㙤㜱㠲戰戶戸慦㕢㕢摣㙤慤㉤敥㠱搶ㄶ㜷㈷㙢㡢㝢㠶戵挵㐱㙥㙤㜱扣㕡㕢ㅣ㝡搶ㄶ㐷㤱戵挵〱㈱㕢戵慣攸〶㌴㤳㉢捥ㅦ㜷㔹㈸愰愴捤愴攷㘹㤴挵㡦㉣㕤㤹戰〶敤愰晦てㅦ㔶㌹ㄹ</t>
  </si>
  <si>
    <t>㜸〱捤㝤〷㤸ㄴ㔵搶昶摣㠱㈹愶〶㜰ㅡㄵㄳ愸㠰㘰㐲戱㜳㔰㤱㈱愹㘴ㄱ㄰㌳㔶㜷㔷换挸〴㥤ㄹㄴ捣搹㌵㠷㌵慣㘲㡥㉢收㔵搷慣慢慥扡㉡慥㘹捤㔹捣㌹愱慢ㄸ晥昷㍤㔵户扡扡扢㝡㐶晣扥晦㜹扥㠶㍥㕤昷摣昷㥣㝢敦㝢慡㙥㔵摤㍡搳㕤愳㙡㙡㙡㝥挳㡢㥦㝣昵收挶攰㔹㡢㍢扢散搶㔱攳摢㕢㕡散㕣㔷㜳㝢㕢攷愸戱ㅤㅤ搶攲愹捤㥤㕤扤〰㌰收㌵愳扥戳㙥㕥㘷昳挱㜶晤扣〳敤㡥㑥㠰敡㙡㙡敡敢捤㕡搴慦敢扥㐳扡㘰搲捡散㑤〱㔴㡤㘹㔰昴愱愸愷㌰㈹ㅡ㈸晡㔲昴愳攸㑦戱ㅡ㐵㈳㐵㠸㘲〰挵敡ㄴ㙢㔰慣㐹㌱㤰㘲㉤㡡戵㈹搶愱㘰晢收㝡ㄴ㠳㈰晡つ㠶㤸㍤㝥摣㡣散㝥ㄸ捤慣慥昶づ㝢㡢㈱扢㌸㝤ㅥㅤ㠹㡣㡡㡣㡡愵㘳戱㔱攱㉤㠶㡣㕦搸搲戵戰挳ㅥ摤㘶㉦散敡戰㕡戶ㄸ戲搳挲㙣㑢㜳㙥㡡扤㜸㜶晢〲扢㙤戴㥤つ挷戲㔶㍣ㅤ㠹㈷ㄲ㠵㑣㈶摤㙦㝤㜸㥥㍥㝥摣㑥ㅤ㜶愱昳㝦换攷〶昴㌹㘳晣戸㔱搳敤慥晦㉤㥦ㅢ挲㈷㕣㑥㘸㙦戵㥡摢晥㤷㥣搶㌱愶㠹〹㜶慥㤹挱户敤㡥收戶㝤㐷愱摢㈵㐴愳㤴ㅡ㌵戶戳㜳㘱敢晥摣㡦挶摢㉤㉤㍢摢〵〹㝡敢㠴捥慥㥤慣㡥搶捥㝥慤攴捦敥戰摢㜲㜶攷㙡慤ㄳㄷ攵散ㄶㄷ搸㔹摦扡㡢搵㌱摤㙡戵㝢㜳愳戱搵㠹攱愴扣摤搶搵摣戵戸㝦敢㥣㑥㝢㘷慢㙤㕦㥢㤰扡搶ㅤㄶ㌶攷㔵敦摥昸㕦搳㙢㤳愰㥥㐹愰搰㥦搶昱昳慤㡥㉥㈹㌱㠴㤱㈰慣㙦㜷㤱㔱㤴昴㡢扢搴㤰㌲㉢挶㙣㔶㜳敢ㄴ扢愳捤㙥㘱㈳㡣攴挸㌲㤰㄰攴挴挱㘳㑡て㠷㔱㔲㝤摤㠳㡦㘳㘱㉢挶㄰㠸㘱戳㍢㥡㌱捣㠵㉤㔶挷ㄶ搳㥡摢㐶㐷戶㤸摡扣挰㙥㘹戶㍢扢㐶㐷户㤸㘶㉤ㅡㅤ㌷㠷〲㘷づ愳挵㐶㄰㙢㡦ㅥ㌶㝥㜱慥挵㥥摤摣㙡て搹㜲挸戰㈱ㅢてㄹ㍥㝥㜸㈴㙤づ㈷㙣〴㠴敡晤㉡づ㝣㝦㜳㍣昸㙡攷㔹戵昳戲戵昳㜲戵昳昲戵昳散摡㜹㠵摡㜹晢搶捥㥢㕦㍢慦戹㜶摥㝥戵昳ㄶ〰愳㕦昵㝤晡搴扡慦戳㉦晥㘷㘴戵〱㝦㥤㝡攱㌵慦慤搸敥㙦搳挶㈸ㅥ敢㌲㔵㙣㠲㡤攱㘵摤㑦昸扡ㅦ〹㑢晦愳㘱㜳㔳㈰捤捤㈰㡣捤㈱慡っ㈰㙡㡥㈴㙣ぢ〸愵㥥挷〰㌸㠸敢づ㥣㤳摥敥散攴搴㜳㘲㉦散㌶㘲㙡捤㘹㡡㤳㡣戴㍥ちㅢ㕢㤶戵ㅥㅥㄵづ晢㝢㠰㜲㐴晡挰㡤㠴戹ㄵ晤㠷㈱㡣〸挴㠰搱挳㜶ㄹ㍢挲挷㘰搸㡣ㄲ㄰㠳㔰㙡㤹摢㠱㡦㥥扤㘸㠲昹搱捣〹㘷㑥㌹昳晣㌳户㝣攳㥦㡡ㄳ㥣㜴㈰㠱㡤㠰づ㐴换㍡㤰搰ㅤ㐸㈵捣㈴晤愷㈰㡣㌴㐴愸慣〳㘹㌳挳晡慤㈱㤴㝡挴㙤㝦晦㡢摦㕦昴捡㘹㙢㑣㍥愹㜱㥤㐳ㅦ㝤㙥挹搱㡡㜳慢戴扦㉤㌶捡昷㥥愸㡦晥㤸㌴㥣㌰㐷搳改㜶㄰挶ㄸ㠸㉡攴㈷捣㈶挲挶㐲㈸㜵扦摢昶㤱扢㉣㝡攵挷摢㜷摢昱收换㉦㝡昷昵ぢ挶扣愵㜸㜴㑢摢攳戱㔱摥㜶攵㥥ㅢ㌳㈷搰改㐴〸㘳㝢㠸㉡㙤愷捣ㅤ〸摢ㄱ㐲愹㍢摣戶㡦㝦攰挸㈷㜷戶捥㥤㝣收戰㤵㉦㍥㥥晢敢㜴挵㌳㠹戴㍤ㄹㅢ㡤ㄳ㜶戳㍢愷户㙦戱㔳㐷㝢㜶㜴㜸㔴挴㥣㐲て㔳㈱㡣㘹㄰慢㡦ㅥ㌶〱昳㑥慥㡢搱㤵挳㈳㘹㑥㈷㘲〶㠴㔲㌷扢㙤㘴㍥扦㍥㕦㜳搱㌹㌳㡥戵敥捣敥㜷㜴戴㔹昱㐴㈵㙤捣挴挶㘶ㄵ㍢㔷愴㌴戴捥攱ㄹㅥ㤵㌰㜷愶敦㔹㄰挶㙣㠸戵扣搶㑢昷慥㌹㐴敤〲愱搴戵㙥て㔶㑥㍡㜵㐸㈱㍤㙣挶摤敦㍣㌸愲搷摣㔱挳㔴㕦㔴㑢て㜶挵㐶愸㜴㤴攱愸戹ㅢ㕤散づ㘱散〱戱㠶搷㤰ㅥ㘶㈴㘶敥㐹挸㕥㄰㑡㕤敥戶㜲晡㌵敢㝤摥昷敥㥢㈷㕦㘱愶挷㝥㌶敤戸㐷ㄴ㑦挳搲捡㍣㙣㙣㕥㌱捥㜰慡㜴愰晡ㄸ㡡㥡晢〰㙦㕡㄰㐶ㄶ愲攲〸㡡㤸㌹〲昲㄰㑡㉤㜱㕢㙦ㅣ昲搳愶戳て㝢㘴㠷搳㉥扦攱攲㐵㥦㜴㥤愳㜸晥㤷搶ぢ搸㈸㥦㐰㐰愷㙦ㅦ㜶㈸㡥㤹晢搲敤㝣〸愳ㄹ愲捡㝥㤴㌴昷㈳㙣〱㠴㔲㘷扢慤㍦户攸昸㑢捦扡㘲搳㐹㘷散昳攳㡥㈳捦扤昳㜰挵ぢて㘹扤ㄵㅢㅢ㤵㡤摤㝦晣㌸〷㙥㈴㙣戶搱㙢㍢㠴戱㍦〴愲ㅢ㌰晤㘶捣〳㠸敡㠰㔰敡㔴户敤扢㕢ㄷ扤㍤昱ㅦ㙦㑣㕥㝡捦ㄱ㡤㜷㉥扥慥㕥昱㝡㐷摡敥挲㐶㜷挷㡦㍥㜶ㄷ搲改㠱㄰挶㐱㄰挱攳挶晣扡㠸戰挵㄰㑡ㅤ敦戶晤散㠷愷㍣㝢晣㌷搷㡥扦㘷扤㡦昷㈸慣昹敤㐸挵换㉣㘹晢㄰㙣㡣㉣ㅢ㌷收㐷㍦敤㌸愲昴戴ㄵ㑤㤸㠷搲晢㘱㄰挶攱㄰挱㝢㜷挲㍣㠲愸㈳㈱㤴㍡挲敤挳ㅡ㝢㉤敢昳昳㡡愳愶㍥㜰攵攰扦㍦戳散挹㘹㡡㔷㜹搲㠷愳戱㔱㍥㝥㍦昷㜱㤹扢搲收㌱挰㤹挷㐲ㄸ挷㐱〴㡦㍦㤲㌱㡦㈷散〴〸愵ㄶ戹㙤㥦㌰改㤲㤷捦㝥晡搵㠹㑢捥㍣户㘶慢扤㍦摡㑡昱攲㔲摡㍥ㄱㅢ㥢㤴㡦摦户捦㘱昰敥㤴㡤㔳挶㐹昴㝣㌲㠴㜱ち挴㐰敦㠰昳ㅤ搹㐹昳㔴㠲㑥㠳㔰敡〰户昹㐱户㙣㜹㙥㜴挵昴ㅤ㑦晢昲㤷慢ㅥ戰捦㤸愴㜸㔹㉢捤㥦㠱㡤ㄱ㘵捤攳㑣改㍢敢㍢愷捤㘴搸㍣㤳㝥捦㠲㌰晥っㄱ㍣晡㘸搴㍣㥢戰㜳㈰㤴摡捦㙤㝥慦晥ㅢ㕦晥挰㌵㐷㌷㥤昳㥦㤷攷晦㘳捤ㄹ㈳ㄴ㉦愸愵昹昳戰ㄱ㜰挴㤷㐵扦㐸挰㕦攸晣㝣〸攳〲㠸攰攰挷捣㈵㐴㕤〸愱㔴捥敤挲捤换㕦㘹扤敤㠳㜴搳搲搳戶ㄹ㌶昶晤㡥㠱㙡㈰慡愵ぢㄷ㘳愳攷ㅤ㔰捦慥〸挲㈵昴㝥㈹㠴㜱ㄹ㐴㜰ㅦ㈲收攵㐴㕤〱愱搴㥥㙥ㅦ搶扥昱攱〹〷敦搷㌲攱摡ㄷ攷づ㕡敤㡤攵㉦㉡摥㑤㐸ㅦ慥挲㐶挵㐹攴㙡㝡戸〶挲昸㉢㐴攵㐹㈴㙤㕥㑢挴㔲〸愵收戸㙤摣搷㌹攴挱搳㙢㠶㑤㍡㈵㤵㙣摦㝢㥤㠹㥤㡡㌷㉢搲挶昵搸〸戸㐰㈸㍢㡢㠴昵㐰挳㌸搴㙥愰晦ㅢ㈱㡣㥢㈰㉡收搷戸㜹㌳〱户㐰㈸㌵摤敤挰扢扦っ攸㍦攷㡢㑢愷㕥愰㝥㕡搸晢愳搰愵㙡ㅤ㔴㑢〷㙥挵㐶昹㌹㈴㙤摥㐶ㄷ户㐳ㄸ㝦㠷愸㍣㠷㘰㡦扡㠳㤰㍢㈱㤴摡挱㙤㘵晣换㡤㤳㌷㙡扣㘴晣扤捦㙦㜷戱戱攲昹㤹㙡㕤㔴㑢㉢㜷㘳愳㝣ㄶ㡦昹昶㘷昷㌲㄰㜱扣㠷㙥敦㠵㌰敥㠳〸摥㥦㈳ㄱ昳㝥挲ㅥ㠰㔰慡挹㙤㝤挹愷㡦昷㥢搱㌸㜹敡㘵挷㉥扤敥㡡挱扤ㅥ㔳敢愱㕡㕡㝦㄰ㅢ〱㈴㤷㑤㘷扥换挰愸昹㄰晤㍦っ㘱晣ㄳ愲㠲攴戴昹〸〱㡦㐲㈸㤵㜱㍢㤰晡敦愲ぢ愶敥㍥愳改摥㤹㥦扣㜳攵ㄷ㕢㉦㔱㠳㔰㉤ㅤ昸ㄷ㌶捡愷㌲晦愵㤰㥥捡ㅦ愷搳㈷㈰㡣㈷㈱㠲〷ㅦ㡤㤸换〸㝢ち㐲愹愸摢昶攲换扥㙤晥愶㘳挸㤴㍢㈷慣戵㔹昶㥢扢扦敤昷㌴慡㘷扡㌷ㄳㄳ㍡慣㠳㜰㝢㔶扣昳㡢㡥挲㘴晥㝢㙥㜹㜱挷㕢㐸ㄴ㔲㠵㐸㈴㥦〸㕢㌱慢㙥㈸摣晥摥㝢㉢㥥㑤晡ㄵ收㌶户攵摢て㤲㥢慤挱攳慣㑥扢㜸敦㌵搲慤ㅢ搷扥戰㉤摦㌹㈸戸㜲㔶㤷搵㘵慦㔷㕥㔷㜴㔲㘱㌶ぢ户愲㜶愷戴户㐱戹搹㉥㔶换㐲㝢散愲㘶愷㝡晤戲㙡摣㠸戶㘷慢搷㙥摦㘱ㅦ攰搵㔶昴㘸㉣㔶㑡づㄴ摦ㄵ愳㜴慡㥣㝥つㄹ㍦扦扤搳㙥㤳敥㡤㙣摤愹㌹户挰敥㤸㘵㜳㥤挵捥换㔰〷戲捡扤ㅢㅥ㌹愳つ〳挵晤㙤㝥㤸㕦㕢㤸戸愸换㙥换摢㜹昴㜷㝦扢愳㙢昱㙣㉢摢㘲慦㔵〲㜱摡㐴挵扡㈵敡敤摢㜳ぢ㍢挷户户㜵㜵戴户㤴搶㡣捤ㅦ㘸攱づ㍣㍦慤㍤㙦攳〶扡㌷㕦㌵慡愶㔷㉦愵㙡㌶て扡㡢愵摦捥㔱ㄲ〸㕦㠸搷㐷捣搷㈹摤敤㐶敤㡣搱㘱ㄴ㉤㌶昷挹摡攱㍤㌸ㄳ扦㜴戳㔹㜵愰㙦㑣㕣㤴㈲㝡搳敡㘸改愳ㄷ戹晦扦攰摡摡㌵摣搱㑦㍣㄰慢ㄴ㍢㕡㙤昹ㄶ扢愳摢㈵㌵挵ㅥ㤹捦㐰搴㙤㠵愳戹㉡㝢扤㠱㔰㡢搴攲扡㠳㥡昳㕤昳㡤昹㜶昳扥昳㜹㡤㠸㘵户晡㝡㔲㕢昱㌲㥦㠳捡㝣㥥攲㍦㄰つつ㌵挶ぢ〴ㄹつ收㡢㑥戹㙥ㄸ㍥㔷㝤晤愳ㄶ㔶愶慣户㘰㜱慣戳慥㜵晢昶㡥捥㕥扤㠲㐶戹愳搵㌹扦㡢扢㘷昷㤵昴昷ㄲ挵换㄰㜵挳㈱㝡㕣㕥㘹〴愸㌷㔷㤱晡户攲㍥捥挲摡㥤ㅣ摤捡慡㙢㜵㤶㠳㈶搸㥤㌹㤳敢㐶㤳㜰慣㉣㌲戰㠵㠳扦㕦㉢昷㝥㝢㔱搷〴慢换敡搳㡡ㄵ㈸㐴挹〴㘸愴㔸㌹㕢戴散㉦㍡㙤摤攰㤶攰㈱㈴㥢㍥㉦㝤㐵攱㜸挲㠱㠳攳愵愶㤷㉢扢ㅦ〴晡扥〱〶㘱㤴敦攸愵㉢㐹㔸攰捡敦㘰户捤㕥扣扦摤㐹㜸扤搱㉤㤵攵㠷ㄷ㥤捤挸㘵攷㜴㌵户㜴㡥㐲㑦㜷攸㘸㕦戸晦晦愶ㅦ晡㌲㕦㠱搰慦扡㡤戱ㄷ晦晥㌱㠱慥㥡㍥〷㌲㌶昳收搵搴搳ㅢ㌵收㐶ㄴ摣㕢攱散㌷㝣挸换㝣〳ㅦつ摤搵搵㡤〰㘲㔵㔶摤敡㠰敦搷ち㠶㘶㜷搸戲㡥㔸㉦〵戰摤扦㜵㙥㝢挷㠲㙣㝢晢〲敥㑦慢㐹愹㜳扥㙤㜷㜱㙤慥慦扢ㄶ㈹㙢㡥㑡昵敡㔵戲㤲收㕢挴摢㄰晥㡤㜷㈰晡㡦㙤㘹ㄹ愲㍤㜶ㅡ敦㐲搵ぢ慢㠴挶㜲㙣っ㤰㝤㜳挸慣慥づ摢㙡ㅤ戵愸愵戳㔵つ挶戰戹戸昵挱攳㕦敥昲换㠴㠷户扦㙢晢ㄱ㈳㜷㝤㈰摥慣〶戹ㄵㄵ㙢㙥㥢挲搱㔰扣捤て㈰搴扡㠰㜱㍡挱㜶改换晣〸㘵昳㘳㡡㑦㈰㌰㈹〸捤㤸ㄳ㍥㜳㡡㙡㌳㝣㜲㕥㌰㍦愷昸〲㐲㡤㠴攰㔱㘹㝥〹愱㕦㉡〴晦っ戶〴㙣㜳愸㉢〳昶㉤戴つ㘶㌷㜵㙡ぢ㈰ㄸ㌴㤳㈴㤹愴挵㈴㈵捡㠰攳㐰〲敡摣㡡㡡㘵扦慤㘰㈶〴晣㑣晢㕥㠰〵ㄳ昰㉢摢㈰㌱㈶㜷㌵ㅦ〱戵㑥㔱㠵㔱㈷〴昴㠲挲攴㐳ㄱㄵ㠵㑡〸愸㐳㐹扦搴㑦扦晡〸㠸㐰㕤㐹㠰㐹㥦㘶㌷㜵㉡〶扢㈰〲扥㠲昳㐰〲扥㜴㉢㉡㤶ㅤ㤳昰㌴㤴扤㔸㥤㕤晥ㅣ戰㘰〲搶㐴戵㌹㤰㘲㉤〸ㅦ〱敢㌸㐵㤵㠲ㄳ㈱㘰㕤㠲搶㠳㔰ㄹ愸㠴㠰㐱㈸改㤷㝡捦㑦㐰ㅡ敡㑡〲㌶愴㑦戳㥢㍡戵㌵散㠲〸㜸戵ㅡ〱慦戸ㄵㄵ敢㥥愳攱㘹㈸㝢戱㈹扢晣㔲㔵〲㌶㐷戵㌹㤲㘲ぢ〸ㅦ〱愳㥣愲摡づ㑥㠴㠰慤〸ち㐳愸㈶愸㠴㠰〸㑡晡愵晥敤㈷㘰っ搴㤵〴㈴攸搳散愶㑥㡤㠵㕤㄰〱晦慣㐶挰挳㙥㐵挵攲敢〴㜸ㅡ捡㕥㙣㠷㐶搵㠳㔵〹㘸㐲戵㌹㤶㘲ㅣ㠴㡦㠰〹㑥㔱㑤㠴ㄳ㈱㘰㈲㐱摢㐳㈸㉥挰ち〱㍢愰愴㕦敡㑥㍦〱摢㐳㕤㐹挰ㄴ晡㌴扢愹㔳㍢挲㉥㠸㠰ㅢ慢ㄱ㜰㠳㕢㔱戱〲㍣〵㥥㠶戲ㄷ戳搹攵敢慡ㄲ戰ぢ慡捤戹ㄴ扢㐲昸〸搸摤㈹慡愹㜰㈲〴散㐱搰㥥㄰㙡㍡㔴㐲挰㕥㈸改㤷扡摣㑦挰㌴愸㉢〹戰攸搳散愶㑥捤㠰㕤㄰〱㝦愹㐶挰㜹㙥㐵挵昲昴捥昰㌴㤴扤搸㡦㕤㍥愷㉡〱㉤愸㌶㕢㈹摡㈰㝣〴散敦ㄴ搵㉣㌸ㄱ〲づ㈰愸〳㐲捤㠱㑡〸攸㐴㐹扦搴㈹㝥〲㘶㐳㕤㐹挰㐱昴㘹㜶㔳愷㜶㠱㕤㄰〱㐷㔷㈳攰㈸户愲㘲㜵㝣㌷㜸ㅡ捡㕥ㅣ挹㉥ㅦ㔱㤵㠰愳㔱㙤ㅥ㐳㜱㉣㠴㡦㠰攳㥤愲摡ㅤ㑥㠴㠰ㄳ〸晡ㄳ㠴摡ㄳ㉡㈱攰㐴㤴昴㑢ㅤ攸㈷㘰て愸㉢〹㌸㤵㍥捤㙥敡搴㕥戰ぢ㈲愰愵ㅡ〱ぢ摣㡡㡡㠵晢㝤攰㘹㈸㝢㜱㉥扢摣㕣㤵㠰扦愰摡㍣㥦攲〲〸ㅦ〱ㄷ㍡㐵㘵挱㠹㄰㜰ㄱ㐱ㄷ㐳愸ㅣ㔴㐲挰㈵㈸改㤷摡挷㑦㐰ㄶ敡㑡〲慥〰扥挱散愶㑥攵㘱ㄷ㐴挰㉥搵〸㤸攳㔶㔴㍣㍢攰㠳㠰愱散挵昵散昲慣慡〴摣㠸㙡昳㈶㡡㥢㈱㝣〴晣捤㈹慡昹㜰㈲〴摣㑡搰㙤㄰㙡㍦愸㠴㠰摢㔱搲㉦㌵搹㑦㐰㌳搴㤵〴摣㐵㥦㘶㌷㜵㙡〱散㠲〸㘸慡㐶挰ㄸ户愲攲昱㐵ㅢ㍣つ㘵㉦ㅥ㘲㤷㐷㔷㈵攰㥦愸㌶ㅦ愱㜸ㄴ挲㐷挰扦㥣愲㙡㠷ㄳ㈱攰㜱㠲㥥㠰㔰〷㐰㈵〴㍣㠹㤲㝥愹戸㥦㠰晤愱慥㈴攰㘹晡㌴扢愹㔳ㅤ戰ぢ㈲㘰昳㙡〴㙣收㔶㔴㍣㐳㔹〸㑦㐳搹㡢㤷搹攵㑤慡ㄲ昰㉡慡捤搷㈸㕥㠷昰ㄱ昰愶㔳㔴〷挲㠹㄰昰ㄶ㐱㙦㐳愸㐵㔰〹〱敦愰愴㕦㙡〳㍦〱〷㐱㕤㐹挰晢昴㘹㜶㔳愷ㄶ挳㉥㠸㠰㌵慢ㄱ戰㠶㕢㔱昱㈰攷㔰㜸ㅡ捡㕥㝣挱㉥て愸㑡挰㔷愸㌶扦愶昸〶挲㐷挰㜷㑥㔱ㅤ〶㈷㐲挰ち㠲扥㠷㔰㐷㐰㈵〴晣㠰㤲㝥愹㝡㍦〱㠷㐳㕤㐹挰㑡晡㌴扢愹㔳㐷挲㉥㠸㠰㕦㝦愹㜲㈹晣㡢㕢㔱昱ㄴ改ㄸ㜸ㅡ捡㕥昴慥㐵㤷㔷〲ㄶ㝣㈹㙣愰摡散㐳㔱て攱㈳愰挱㈹慡㘳攱㘴ㄸㅤ昵㈵愸ㅦ㠴㍡ㅥ㐵㈱愰㍦㑡晡愵扥㐱ㅢ摥捤搰㜱㔰㔷ㄲ㌰〰昸〶戳㥢㍡挵攷㔳㐱〴㝣㔴㡤㠰て摤㡡㡡㐷㔹㈷挱㤳㄰戰ㅥ扢晣㝥㔵〲〶愳摡㕣㥦㘲〳昶慥㜸㌷㌸挴㈹慡㤳攱㘸ㄸ㠷㌳㤴愰㘱㄰敡㔴ㄴ㠵㠰㡤㔰搲㉦昵扡㥦㠰㔳愰慥㈴㘰ㄳ攰ㅢ捣㙥敡搴㘹戰ぢ㈲攰戹㙡〴㍣敢㔶㔴㍣㑣㍢ㄳ㥥㠴㠰㌰扢晣㜴㔵〲愲愸㌶㘳ㄴ㜱昶慥㐸㐰搲㈹慡戳攰㘸ㄸ㠷㤳㈲㈸つ愱捥㐶㔱〸挸愰愴㕦敡㔱㍦〱㝦㠶扡㤲㠰搱挰㌷㤸摤搴愹㜳㘰ㄷ㐴挰扤搵〸戸挷慤愸㜸㥣昷ㄷ㜸ㄲ〲戶㘷㤷敦慡㑡挰㡥愸㌶㈷㔱㑣㘶敦㡡〴㑣㜵㡡敡㝣㌸ㅡ挶攱㑣㈳㘸㍡㠴㕡㠲愲㄰㌰〳㈵晤㔲㌷晢〹戸〰敡㑡〲㘶〱摦㘰㜶㔳愷㉥㠴㕤㄰〱㔷㔷㈳攰㉡户愲攲㘱攲㈵昰㈴〴散挹㉥㕦㔱㤵㠰扤㔱㙤捥愳搸㠷扤㉢ㄲ㤰㜵㡡敡㔲㌸ㅡ㠶户㤹㈳㈸て愱㉥㐷㔱〸戰㔱搲㉦㜵㠱㥦㠰换愰慥㈴愰ㄹ昸〶戳㥢㍡㜵〵散㠲〸㌸愳ㅡ〱愷扢ㄵㄵ㑦㌲慦㠶㈷㈱愰㠳㕤㍥戵㉡〱㕤愸㌶ㄷ㔲ㅣ挸摥ㄵ〹㔸攴ㄴㄵ㥦㜷づ攳㜰ㄶㄳ㜴㌰㠴扡ㄶ㐵㈱攰㄰㤴昴㑢ㅤ敢㈷攰慦㔰㔷ㄲ㜰〴昰つ㘶㌷㜵㙡㈹散㠲〸㌸戸ㅡ〱㡢摤㡡㡡挷慣㌷挰㤳㄰昰㈷㜶昹愰慡〴㥣㠴㙡昳㘴㡡㔳搸扢㈲〱愷㌹㐵㜵㈳ㅣつ攳㜰㑥㈷攸っ〸㜵㌳㡡㐲挰㤹㈸改㤷㙡昳ㄳ㜰ㄳ搴㤵〴㥣〳㝣㠳搹㑤㥤扡〵㜶㐱〴攴慢ㄱ㤰㜳㉢㉡ㅥ昳摥〶㑦㐲挰挵散戲㔵㤵㠰㑢㔱㙤㕥㐶㜱㌹㝢㔷㈴攰㑡愷愸㙥㠷愳㘱ㅣ捥㔵〴㕤つ愱敥㐰㔱〸戸〶㈵晤㔲扢晡〹昸㍢搴㤵〴㕣〷㝣㠳搹㑤㥤扡ㄳ㜶㐱〴㑣慦㐶挰㌴户愲攲〹昴㍤昰㈴〴摣挶㉥㑦愹㑡挰摦㔱㙤摥㐱㜱㈷㝢㔷㈴攰㙥愷愸敥㠵愳㘱ㅣ捥㍤〴摤ぢ愱敥㐷㔱〸戸て㈵晤㔲攳晣〴摣〷㜵㈵〱て〲摦㘰㜶㔳愷ㅥ㠰㕤㄰〱改㙡〴愴摣㡡㡡㠷攰て挱㤳㄰昰〴扢㥣愸㑡挰㌲㔴㥢㑦㔱晣ㅢ挲㐷挰㌳㑥㔱㍤っ㐷挳㌸㥣㘷〹㝡づ㐲㍤㠲愲㄰昰㍣㑡晡愵戶昰ㄳ昰㑦愸㉢〹㜸〹昸〶戳㥢㍡昵㈸散㠲〸ㄸ㔶㡤㠰愱㙥㐵挵㐳昸挷攱㐹〸㜸㥢㕤摥戰㉡〱敦愲摡㕣㑥昱ㅥ㝢㔷摣〳㍥㜰㡡敡〹㌸ㅡ挶攱㝣㐸搰㐷㄰㙡ㄹ㡡㐲挰挷㈸改㤷㕡换㑦挰㤳㔰㔷ㄲ昰㌹昰つ㘶㌷㜵敡㈹搸〵ㄱ搰慦ㅡ〱㝤摤㡡昲㑣㠰扡㘷攰㘹ㄵ㥥攰昶㘵㠷ぢ扢㌴摢〷昱㤱搳㙡〵攴㔸㡦㕦搸搹搵㉥捦挷晡ㄷ㈶戴㑦㙦敦㥡搰摣戹㝦㡢戵㜸㡤㠲扢㌱㜷扥摤㠶愷搷ㅤ㜸㠸㕤愶㙢摦㝦㝦㍢㙦ㄶ㘶戵㉦散挸搹㤳㈶晣㕦㜸扡㡤昱㈱㜴昲㘰扢㔶攱昵挷ㅥ搸搶挰ㄲ㝢〹㕥㌵㜵捦挱㘱昹㜳㌷挹昴昶㍤㈳㤷捤㄰㠰㡤㐵㐶㘷㌷㜷戵搸㝤ぢ昲㝣㕡戶敢ぢ㘰ㄱ㈹〱昹㍥㠵搹昳昱㍣㙡㐲晦挲づㅤ捤昹㤶收㌶㥢挱㔸搳㠱㑥戵昷挵攳晦㥤摡㍢㥢㤹㔴摦扦㌰扢挳㙡敢摣㥦㑦㌲㜳㡢㔷㉦㈹挹㘳愵扡挲戸收戶㑥㌴㈳㔱攴㜶㘳㘱搶晣昶㠳昰昷ㅤぢ㕢摢㜶戰昶敦晣㍦ㄱㄵ挵戰挸㑢㐲愳㙡㔵㙤慤慡慦慤晦愳昱㌱扥挷㌱戶㜶㌱㠹㙥〸昶搵慥㡥收散㐲㤲㈶敤㐴㈱㝢㔳㐸ㅣ㙢敡㥥挷㔶昹㜳㑢㕦ㄸ换㤲づ搸摦㤲扦㕤〸㝣晥敤晤攱捣晡㠰㥢㍦愰㑢晤晥ぢ㌱㜹㠷㌹㤳㡡改㌸晦愳扦㐲愹晢て㍣晦敥散㠷㠱〰慦收散㐶捣㠸攰㕥㠵愳ㄳ㝢〳㑢攵扢㘶㐳㐱㌰摣㑢㔷㉢㙥㙥㡦〷攸晤ち㔳慤慣摤㠲攷晥慤㔶搷㙡㑥㠱〹ㄸ慤㔶㑢愷㕢㌷扥扤戵搵攲㙥挷扦戵㤸㤵戳㕡散晡挲搸㠵㕤敤昸〳〶戳〰㈱晢愶慢戲ㄶ㐱㘵㉤ㄲ㔵扦挲捥捣〷㤲㙤晡㙡摦搷敡㘸敥㥡摦摡㥣慢㘷㠱㌹㍢晦㈷昶㔷捣㈱扤㐱愶㝥改昹愴晣㤱扦昳攰ㅤ攱ㅥ㠵㉣ㄹ㔲挷昰㘳慦慥㔵〶晥愹㍦㤸㉥㠲搹㐷㑥㉡收㑦昰㔶㠷户㑣㐷搲㤷慦攴㜱㉣㌶扦㍡〲扢愸㑣㔰敡㐵〲昰㌶㔷〲捡つ扥㝢扦〴搱㙤㉥㐱ㅦ〰ㅡ愶戶㕢昹敤慤ㅣ晥㙥慡㡦晢㔷㔳昵〸㉤愷㥢㡥㄰戳㍢挶㈳㘱〸㠹㐸〷㌶攷敤㡥㝡㉡㘶攱慦挲㝡㌳㉦挴㜰㘲㠸攷摣扤㙡敡敡晡搶〷戵㌵㐹晢ㅡ敥㍥㌳昷晦搵搹愴ち晦㥦捤㑣㡦㘹㘲慦ㅡ攴㌴昵㌳㠶㘳晥挲㌱扤っ㈵挷㔳〶昸㤵㠰摦㈰敡㕥㐱㘵㜹㙣㑡ㄳ㉤㤰㡥㘱〲搴㕢晥摥㠸㈹㈰昵㐸㤷㤰摣㤱㍡ㄹ㐸㕦㕦捥㠷攱愴㝢搴敢㍦㘲㌲㘶㘱㉦户昳つ捥ㅣ换摣ㄲ㥣ㅤ㙡㙡㙢㝢㈳搴㐶㜹扥㕣㐵戳㜰搶㍡换㤶㘴㄰戵〱扡㘰㌰㙢㜰㈸てㄶ昸㥦㔷㤶㑢敥晤㉤捦戰㡡换㡡㠶〶戳ㄶ㤶㌵つ敡つ㐸㑤〷て㜹㤷㉦〴〲㉢㘲㄰敡〳㈸㜹㘱攰㍢㡤愹㡦㔰攴愹慣挶攰ㅦ㜷慤捡搴愹㍥㠶ㄵ愷㑦搳愰昳㑦戰挵㔹挹摢㑢敢愱敤㜹㉦晤㡣ㄶ㜸㥢晣㝢㐱扤㤷慡捦愱搱㐳㘹挲戶㍢㤴〶㘰捣扥〴㝥ㄱっ攸㐷㐰㝦〲扥〴㠰攱㌷㔶㐳愹㈷㕡愳㠱戴㠶㘰〹㕡扦昵㌵攵愳㜵〰㥢㕡㥤㑤晤っ㐰㌹慤扦㐲攷搰扡〶㈰慢㐴敢㙦㌰ㄵ㕡搷愴㜳㜲㔲㐲敢㕡搰昶㑣㙢㉤捣㠴搶戵挵㠹㔳㔰㑣㙤〸愰㜵ㅤ㘰捣㜵〹㘴摡㐳〰㘰㍤〲〶ㄱ挰㑣〸愱㜵㌰㑡㠳㡡㝢慢晢〷㔳㝡㍦つ〷ㄲ扡〱㙣㐰㈸戳㈳㜴㈳㍥㐲㌷㘴㈳㐳搸〸㌳ㄹ捡〹㘵晡㠲㐳攸㔰㐰㔶㠹㔰㈶㍤〸愱挳攸㥣搹て㈵㠴づ㠷戶㘷㐲㤹㈵㠱晦昸㍢㍡㍡挱㠶扣㤹㉡愱㠷搲挴挱㌹㔳搴挶挰㤸㥢㄰挸㌴㡡〰挰愶〴㙣㐶〰㌳㉢㠴搰捤㔱㕡慦ㅡ愱改㐰㍥户㠰〹昸摣搰搷㠶㡦捦㉤搹挶㈸戶挱挴㠸㜲㍥㤹つ攱昰戹ㄵ㈰慢挴㈷㜳㈸㠴捦㌰㥤㌳㤹愲㠴捦㈸戴㍤昳挹愴ぢ晣挷㉡㉣㥤㘰㐳摥捣扣〸愰㉢づ㡣㤹㈰㤰㔹ㄹ〱㠰㈴〱㈹〲㤸愸㈱㝣愶㔱敡改戸㑦〴搲扡㌵㉣㐱㉢㔳㌸㜴㔳㍥㕡户㘱㔳摢戲㈹愶㕢㤴搳摡〴㥤㐳敢㘸㐰㔶㠹搶戱㌰ㄵ㕡户愳昳㜱㈸㤵搰摡〴㙤捦戴㌲㤵〳晦㤱攷㐱㈷㥡㔶收㜳攸愱㌴㜱㜰捥㙥㍡づㄸ㜳㍣㠱捣昵〸〰㑣㈰㘰㈲〱㑣晦㄰㕡户㐷愹㈷㕡㔳㠱戴敥〸㑢搰捡挴㄰摤㤴㡦搶㐹㙣㙡㌲㥢㘲ㄲ㐷㌹慤捣摣㜰㘸㥤〲挸ㅡ昸ㅢ扦㉤愷户昷㜸㜱慦㤸敢㈱㤴㑥愵㘳㈶㝤㤴㔰㍡ㅤ摡㥥㈹㘵㜲〸晥攳㙦〴改〴ㅢ昲㘶㠶㠸ㅥ挶攰㈲愵㍢〱㘳捥㈴㤰搹㈳〱㠰㥤〹㤸㐵〰ㄳ㑡㠴搲搹㈸つ㉥ㅥ昹挵㍦㔰㜴晦㐲㌱㤰捤㕤㘰〴㌶㉤㕦㉢㍥㌶攷戲㤵㕤搹ち㌳㐲捡搹㘴ㅡ㠸挳收㙥㠰慣搲㑥捡攴ㄱ㘱㜴㜷㍡㘷ㄶ㐹〹愳㝢㐲摢㌳愳捣㌶挱㝦晣㌵㈲㥤㘸㐶㤹㜲愲〹㙢攲攰㥣㥤㜴㙦㘰捣㜹〴㌲ㅤ㈵〰戰て〱ㄶ〱捣㔰ㄱ㐶戳㈸つ愹㘰㔴晥㌴慢晢㌳㔴ㅥ㠶㘰㤵愹㉢扡㈵ㅦ慢㌶㕢㉡戰愵㈳〱㈸㘷昵㘸攸ㅣ㔶昷〵攴㜷敦愳捣㐶ㄱ㐶攷搳㌱搳㔲㑡ㄸ摤て摡㥥ㄹ㘵晡ち晥攳㙦ㅣ改〴ㅢ昲㘶づ㡢ㅥ㠶㙦ㅦ㙤〱挶㙣㈵㤰昹㉤〱㠰㌶〲摡〹㘰捡㡢㌰扡㍦㑡敢㔷㌰㡡扦㉥㜵昶搱㐸㉣㜰㈷敤㠰ㄵ攸㘴㈲㡣㙥挶㐷㘷㈷㥢攱㤷㑢㈸㈶慤㤴搳挹㑣ㄵ㠷捥㠵㠰慣搲㑥捡晣ㄶ愱昴㐰㍡㘷愲㑢〹愵㡢愰敤㤹㔲㈶挴攰㍦ㅥ㝦搰㠹愶㤴㔹㌱㝡㈸㑤ㅣ㥣戳㤳ㅥっ㡣㜹〸㠱捣㤸〹〰ㅣ㑡挰㘱〴㕣〲㠰㔰㝡㌸㑡搵慦愰㈲㠱㠴ㅥ〹ㅢ㄰捡挴ㅡ摤㠸㡦搰愳搸挸搱㙣㠴㐹㌰攵㠴㌲昳挵㈱昴ㄸ㐰㔶㠹㔰收换〸愱挷搲㌹ㄳ㘷㑡〸㍤ㅥ摡㥥〹㘵㠲つ晥攳敦㌱改〴ㅢ昲㘶㤶㡤ㅥ㑡ㄳ〷攷㄰晡㈷㘰捣ㄳ〹㘴〶㑥〰攰㈴〲㑥㈶㠰㐹㌹㐲攸㈹㈸昵㜴㙡㑡〶搲㝡ㅡ㉣㐱㉢搳㜵㜴㔳㍥㕡㑦㘷㔳㘷戰㈹愶搶㤴搳捡㝣ㅡ㠷搶㌳〱㔹㈵㕡㤹㠵㈳戴㥥㐵攷㑣挷㈹愱昵㙣㘸㝢愶㤵㘹㍢昸㡦㍦昴愴ㄳ㙣挸㥢戹㍢㝡㈸㑤ㅣ㥣㐳敢戹挰㤸攷ㄱ挸扣㥥〰挰㕦〸㌸㥦〰愶晡〸慤ㄷ愰攴㥢㑣㑢晥挶搹㥤㑤㌳㠱慣㕥〸㐳戰捡ㅣ㈰摤㤲㡦搵㡢搸搲挵㙣㠹昹㍡攵慣㌲㐹挷㘱昵ㄲ㐰㔶㠹㔵愶昶〸慢㤷搲㌹㜳㝣㑡㔸扤ㅣ摡㥥㔹㘵㉥㄰晥攳敦㐶改〴ㅢ昲㝥ぢ㔲て愵㠹㠳㜳㔸扤ㄲㄸ昳㉡〲摦づ〶㕣㑤挰㌵〴扣〳㠰戰晡㔷㤴㝡搸㔹愳挱㜷㔱㑢㘱〹㕡㤹㔹愴晢攲愳昵㍡㌶㜵㍤㥢㘲ㄶ㔰㌹慤㑣晤㜱㘸扤〱㤰㔵愲㤵〹㐳㐲敢㡤㜴捥捣愱ㄲ㕡㙦㠶戶㘷㕡㤹㘱㠴晦昸㑢㔵㍡挱㠶扣㤹㘶愴㠷搲挴挱㌹戴晥つㄸ昳㔶〲㤹㠲ㄴ〰戸㡤㠰摢〹㘰㔶㤲搰晡㜷㤴㝣㍢慢㝢㉤㔵㜲收て扥攸扦ㄳ㠶㘰㤵改㑡扡㈵ㅦ慢㜷戱愵扢搹㔲㙦慣㉢㤵戳捡㝣㈲㠷搵㝢〰㔹㈵㔶㤹㠵㈴慣摥㑢攷㑣㐷㉡㘱昵㝥㘸㝢㘶㤵㘹㑢攸㌷晥㌶㤶㑥戰㈱㙦收㉥改愱㌴㜱㜰づ慢晦〰挶㝣㤰㐰收㌵〵〰ㅥ㈲攰㘱〲㤸敡㈴慣晥ㄳ愵ㅥ㜶搶㐸昰ㅣ昰㈸㉣㐱㉢㤳愰㜴㔳㍥㕡ㅦ㘳㔳晦㘲㔳㑣㔸㉡愷㤵㔹㑡づ慤㡦〳戲㑡戴㌲户㐹㘸㝤㠲捥㤹攴㔴㐲敢㌲㘸㝢愶㤵挹㔰㐲敢㔳㜴愲㘹ㅤち慤ㅥ㡡㡦搶㝦〳㘳㍥㑤㈰戳愵〲〰捦㄰昰㉣〱㑣愰ㄲ㕡㥦㐳㘹挳㡡㡢㉡晦捥ㅡ㝣扡晡て散㐰㉡ㄳ慢㜴㐳㍥㔲㕦㘰㐳㉦戲㈱㈶㐱㤵㤳捡捣㈷㠷搴㤷〰㔹㈵㔲㤹㉦㈵愴扥㑣攷㑣㥣㉡㈱昵㔵㘸㝢㈶㤵〹㔶㐲敡㙢㜴愲㐹㘵㤶㤵ㅥ㡡㡦搴搷㠱㌱摦㈰㌰ㅤっ㜸㤳㠰户〸㘰㔲㤶㤰晡㌶㑡㍤散慢搱攰昵扥㜷㘱〹㕡㤹慥愵晢攲愳㜵㌹㥢㝡㡦㑤㌱戵慡㥣㔶收㔳㌹戴扥て挸㉡搱捡㉣㉣愱昵〳㍡㘷㍡㔶〹慤ㅦ㐱摢㌳慤㑣摢ㄲ㕡㍦愶ㄳ㑤㉢㜳户昴㔰㝣戴㝥〲㡣昹㈹㠱捣敢ち〰㝣㐶挰攷〴㌰搵㑢㘸晤〲愵ㅥ㈶搶攰㝢㠰慦㘰〸㔶㤹〳愶㕢昲戱晡㌵㕢晡㠶㉤㌱㕦慢㥣㔵㈶㘹㌹慣㝥ぢ挸㉡戱捡搴㉥㘱昵㍢㍡摦〷愵ㄲ㔶扦㠷戶㘷㔶㤹ぢ㈶慣晥㐰㈷㥡㔵㈶㠴改愱昸㔸晤㉦㌰收㡦〴收㠳〱㍦ㄱ戰㤲〰ㅢ〰㘱昵㘷㤴㝡㘰㌵昸㐶攰㔷ㄸ㠲㔵㈶㤶改慥昸㔸晤㡤㉤搵攰㐹㤵㘲ㄲ㔸㌹慢捣晣㜲㔸攵挳慣摦㝤愳捡㕣㌱㘱ㄴて㌸㙡ㄴ㤳挶㑡ㄸ挵㕦㡥晦づ㐶ㄷ挱㑣ㄸ慤愳ㄳ捤㈸㌳捣昴㌰㝣㌷慡〶㌰㘶ㅦ〲㤹㝤ㄶ〰愸㈷㠰摦㌱愸㤸㤰㈶㡣㌶愰搴捤㘲㑡昰㐲㙡㍦ㄸ㠱㑤㘶愹改㔶㝣㙣昶㘷㉢慢戱ㄵ㘶㤴㤵戳挹㌴㌲㠷捤㐶㐰㔶㘹ㅦ㘵昲㤹㌰ㅡ愲㜳㘶愱㤵㌰扡㍡戴㍤敦愳捣㔶ㄳ㐶搷愰ㄳ捤㈸㔳搶昴㔰㥡㌸㌸攷攴扦㈶㌰收㐰〲㤹捥ㄶ〰㔸㡢㠰戵〹㘰㠶㥢㌰扡づ㑡搵敦㔳攳㠱㤷晥敢挱〶㠴㌲敢㑤㌷攲㈳㜴㄰ㅢㄹ捣㐶㤸愱㔶㑥攸愵搰㌹㠴慥て挸敦摥㍤㉦㠳㤹㤰戹〱ㅤ㌳愳慤㠴捣㈱搰昶㑣㈶㌳摦㠴捣愱㜴愲挹扣ち㕡㍤っ摦敥㌹っㄸ㜳㈳〲㤹ㅡㄷ〰ㄸ㑥挰〸〲㤸㉤㈷㘴㙥㡣㔲㌷敢㈸㔵捥㑣㥢挲ち㜴㌲㠷㑥㌷攳愳㜳㌳㌶戳㌹㥢㘱扥㕢㌹㥤㑣㜲㜳攸ㅣ〹挸㉡敤㥦㑣㡤ㄳ㑡户愰昳㍢㔱㉡愱㜴ㄴ戴㍤㔳捡㕣㍡愱㜴㉢㍡搱㤴㌲愱㑥て愵㠹㠳㜳昶捦㌰㌰㘶㠴㐰㈶摢〵〰愲〴挴〸㘰晥㥤㔰ㅡ㐷愹㠷ㄳ㝥㈴㜸ㄲ㑤挲ㄲ戴㍥攸㙢捡㐷㙢㡡㑤愵搹ㄴ戳攸捡㘹㘵敡㥣㐳㙢〶㤰㔵愲㤵〹㜷㐲敢搶㜴捥捣扢ㄲ㕡户㠵戶㘷㕡㤹愱㈷戴㡥愶ㄳ㑤㉢搳昴〲㔸摢づㄸ㜳っ㠱㑣攱ぢ〰㌴ㄱ㌰㤶〰㘶昵〹慤攳㔰慡㝥搸〷捦愳ㄳ㘰〳㐲㤹改愷ㅢ昱ㄱ㍡㤱㡤㙣捦㐶摥〶愰㥣㔰愶攲㌹㠴敥〰挸㉡ㄱ捡〴㍥㈱㜴㐷㍡㘷㈶㕦〹愱㤳愱敤㤹㔰㘶晣〹愱㔳攸㐴ㄳ捡戴㍦㍤㤴㈶づ捥搹㑦愷〲㘳㑥㈳㤰㈹㠱〱㠰改〴捣㈰㠰㔹㠲㐲攸㑥㈸昵戰㥦㐶㠳昷搳㥤㘱〹㕡㤹㍦愸㥢昲搱㍡㡢㑤捤㘶㔳捣㌴㤲㈱捣㘱挹ㅤ㐲ㅤ戳㐵捡㤳㈰㉡ㄲ㔴愴㠵〲㔳㔵㘶㜵㉤㙥㐱㝡㄰㌷㤹ㄴ攱㙣㌱扤愳㐱㜴㐸搵㘸敦挰㘳攲摥攵㕦㔹攲搹㍥㡤㠶晢慥㔹昶㜵㌰㘲挶ㅡ㘶挲搴㉤㕤㔹昹㤵㈷㥥㍤㍢㕥晣㙥〸摡昰㘵捣㐵ㄷ搷㥣搶㥣敢㘸敦㙣㉦㜴つ㤹㠵昴户㈱晣㝡㥤㐲㑤㑤㜸㙣摤㕦攱㌱戰㑤づ慣㜷ㅢ扦㉡昶㐰ぢ㕦㌷搱戰愰慤晤愰㌶改㑤㕤㈷扦㘵㐸昸敡搳㠷捤㌴戰ㅤ扥㌶〲㜹㈱㘶捤㠴㔰㌰㜷㠳㡢晥㡤㈱愶㥤搰㤹戱㍢攴㠸昱攳挶敦㍣㉦ㅥ㑥ㄷ㤲搱㝣㉥㙦㔹昱㜸㈲㥤挹㠴昱㉤㍥昹㐲㌴㤹戴㌲昱㜴捡㌲昶昰愰㜶㉡ㄳ挹愷㘲搱㙣㉣㥢㡣㘷ち㤱㙣㈱ㅢ㉦搸㤱㝣㌶ㄳ攵昷㉣愵㡣㍤㍤㘸㉣ㄱ户㜳搹㠲㤵㠹愶ㄲ昱㕣㈱㤳戶㈲㤱㘴摣㠲㘹㈴㘲ㄵ搲ㄹ㘳慦㈲搴㉥㈴㤲昱㘸㉣㤷捡攷攲㤹㜴搲㑡㘵散㘴戴㘰挷ㄳ㜶㍥㥤戴挳㈱愶挹〰㕤㘳敥つ㘹捥愳搸㠷挲㠲〸㌱㑦〶㥦㌵㘶㤶慡ㅣ㐵㥥挲㠶〸㌱㝦〶㥦慥愵ㄸ㠹㌹㉤敢㙡㜱㝤昹㝢ㄳ㕣攸㐴㘵㔵㑥攵㤵摤扢㑦ㅦ㌵愲散㍢㝢㉡ㄲ㘳扣㉦㍤㌱っ收挵搴㥤㡢搰晥㍥愳搲㍤㠷挶ㄸ〴㥥㠹愰ぢ㘶ぢ㐴㐳愸ㄷ㍡捥づㄹ慤㤰〳挶㡦㥢㔷晡攵挲㐶ㅢ搴慢㐳㡤敦攸搰摦摡挱㠳挰㘸㠷扥ㅦ昴㤲ㄳ㠴㙦㌳敥㌴昶㠷㘶㌵㘸㝣〹㠲愱摥慥㜷昳〰㔴㥡换搹昶㌰㡡愱㄰捡㐰愵散㙣ぢ㔱挹つ㜹搷㐳换〳㔴㥤㠴㔱昲戰㐰〵扥搳ㄱ㤰慡晢扡晡ㄳ㘰摣摦㑢昷㔷ㄳ㥥㘴㝦㕤っ㘳散慦つ㈸㘳慢挶㌸ㄸ搲搹㕦㘳搱㔴㌴㥤㑥㐶ち搱㐲㉣㡥㍤挷捡㈶戰㙦㔹㠹㐸㉥ㄷ捦攳㝢㜰㡤㐳㍣愸㤵㡢㠶ㄳ戹㜴ㅡ㝢㕤㍣㙥攵搳改戰㥤戵ぢ搹㙣㈴㤳捤㘲㉦㑦ㄸ㠷㝡搰㔴㉣㥣〷づ扥攳㔶㍣ㅣ捦㘴㜳攱戰ㄵ捦㘷敤㙣捡㡡愴戳㘹攳㌰てㅡ捤搸昹ㄸ㐰㜰㤵㡢㘷㌳搹㜴㌸㥥㑢挷ち㤹㕣㍡㤵㑢收ぢ㤹㔰㕦户搳收攱戰㌱㡦愰㌸㤲攲㈸㠸㔰㍦㕤㜹㌴㔵挷㔰ㅣ㑢㜱ㅣ㉢晢敢捡愲㤱昸愰愵ち愱㤲晢慣㍡㄰戴㜱㝦㤲晤攲㘴ㅡ㥦〲搱㄰ㅡ愰慤戹㕦㤸摣ぢ㑣㠶摣㘴㤴㐳慢敢捡㌳愹㕡づ㑥攵㉢㡢攵换㡢搵㥡㜴㑢搵㌹愸昴挲扡ㄶ戴ㄲ搶晤搰㤸ㄷ搶昳〰愹ㅥ搶昹㠰㔶㠶㜵㙤㜸㤲戰㥥て㘳㠴㜵ㅤ㤴戱㠵㙦㕤㠴㜴挲ㅡ挹攴散戸㤵㡡㐷攳㤱㐲㍣㠷㜰㐵搲㠵㐴㌸㤶戰戳㤹㔴㍡ㄵ捥ㄸ㑢㍣愸㤵㐳〴ち㤱㜴㉡ㄹ㐹挵ㄳ愹㥣ㄵ戶散扣㤵㡢㐴攲搹㕣㉡㙢搹挶㠵ㅥ㌴ㅤ戳㘲㈹㉢㥤挴㑥㤰㡥㘷挲㠹慣㤵捡㐷戱慢愴搲昹㝣㈱ㄱ㉤ㄸㄷ㜹搰㕣㈶ㄶ〹㘷挲改㜰㈶㤷㐵㜰搳㔶㌲㥢捥㐶〰挷攴㔶㠸㘵愳愱㜵摤㑥㥢ㄷ挳挶扣㠴攲㔲㡡换㈰㐲敢改捡换愹扡㠲攲㑡㡡慢㔸㌹㐸㔷ㄲ敡戳愴㈳戵〱㉡㈵慣扢昸挳㝡ㅤ㤱搷㐳㌴㠴㌶搴搶㐱㘱ㅤ愲㉢㙦愱挱㜲挶㌰㑣戱ㄵ㠴ㅡ㠶㑡〹敢敤㙣㠸ㅡ扥㠷㐳㉢㘱㥤散ぢ慢挹戰昲㈴愴㜶っ㡣攰〸ㄸ㐹〴敦〲づㄱ摣ㄸ㘵㕡ㄸ㜷㐳㍡ㄱ捣㐴㔲㤶㥤㉢㈴攲戱㘸㍣㥥㐴㔸ㄲ㠹㘸挲㑥㈴㜲戱戰ㅤ户挳ㄱ攳ㅥて㙡挷ぢ戱㐴㈱㥡捤挴㌳㔶㍣ㄶ戶慣㘴㌴㤳㡡愴㌳戶㥤戰散㜸㈴㙥摣敢㐱挳挹㐸㉣㠵㐳㌶ㄵ㑤㐶攳攱㍣㡥挵㘸愶㄰㡢ㄵ昲攱㙣捥㡡攴昲挶㝤ㅥ㌴㥦㑤㐷愲㤹㘴愱㤰戶㜲昱㜰㉣㤳㐵ㅢ㌸㕤攱戸捥㐷慤㑣㍡ㄷ摡挴敤戴㜹㍦㙣捣〷㈸晥㐱昱㈰㐴㘸㔳㕤ㄹㄴ挱捤㜴愵ㄸ㠹戹㘷愹戶㐰愵㐴㌰改㡦攰㤳昴扣っ愲㈱戴愵戶づ㡡攰㈸㕤昹㉣つ㤶㠳㔳昹づ㙤昹㌶㙤ㄵ㐶愵㐴昰〵㔴㝡ㄱ㡣㐲㉢ㄱ摣㍣㌰㠲㥢〶㐶㌰〶㈳㠹攰㉢㜰㠵〸挶㔱挶㔶㡤昱㉡愴ㄳ㐱ぢ㔱㠸㈶慤㜸㉥㡣〳㉢㤲〸㠳㑥㍢ㄹ换㘵愳㤱㕣㍡㤳㑢㘵㡣搷㍣㘸㉡㘵㔹㔶㍡㔱㠸㐷愳㠹㜸〴㠷㥦ㄵ戳㜳㠹㙣㍣㤷㐷挴挳㔱换㜸摤㠳㠶㌱㝤㈶挳挹㕣ㄲ㔳㙥㍣㘹攵㌰㘱挷㤲愹㑣㉥㥦㑦㘵㤲攱㙣搲㜸挳㠳收㜳㐹ぢㄳ㐰挴㑡㘲づ捥㐶昳㤹愸㡤改㍥㥦挲愱㥢㡦挶㘲戱㔰挲敤戴昹㈶㙣捣户㈸摥愶㜸〷㈲㤴搴㤵敦㔲戵㥣攲㍤㡡昷㔹㤹搲㤵㠴㤶㤹慢慤㔱㈹ㄱ㕣换ㅦ挱㑦㠹晣っ愲㈱戴㡤戶づ㡡攰戶扡昲㙢ㅡ㉣㘷〴户愳ㄸつ愱戶㐳愵㐴㜰〵㉡扤〸㌶㐱㉢ㄱ㙣昰㐵搰昸〱㤰敡㔳㙢㝤㘰㔸挷挲㤳㠴昵㐷ㄸ㈳慣攳㔰挶㔶㡤昱ㄳ愴ㄳ搶㘸㍥㥥挴昵㕤㍣㥦戴㘳㤸㔷㜱㘰攴ㄸ㤱㔸㈲㠱换慢㐲㍣㙦慣昴愰㘹㉢㙣㠷挳搱㜴㈲ㄹ㑥挴㌳ㄱ散ぢ㔹换捡愴㌰㠹㘶敤〴㈲㘲晣散㐱愳㜱敥㉤㠵ㄸ㥣挷攲㌸捤㕡昱㔴㍣㤹挵㤹㌳㠹㔳㘲㈱㘱ㅢ扦㜸搰㑣づ㔷㜳攱㠲㥤㑥攰ㄲ㌳㠹ㄳ㘵㌲㔵㈸㘰㔶捦攷ㄳ㤹㜴㌴㤹〸㡤㜷㍢㙤晥ちㅢ昳㌷㡡㥡㍡〸〵ㄱ㥡愰㉢㙢愹敡㐵搱㥢愲㡥㤵ㄳ㜵愵攰挵㥣㐶攲㐳敤㠸㑡〹敢昷㍦昹捥㤸㝤㔹摦て愲㈱㌴㐹㕢〷㠵㜵戲慥ㅣ㐰㠳攵㡣攸㐴㡡〹っ敢㔴㔴㑡㔸〷愲㤲ㅢ㈸㘳㈵ㅡ㔲挲晡〹ㅡ昴捥㤸㙢〳㔲㍤慣ㅦ〱㕡㜹挶㘴㥡㤶㠴㜵㕤ㄸ㈳慣㍢愱捣昳扤戱ㅥ捡㑥㔸㔳戸㕡戱㈳愹㐸㌴㡣ㄹㄳ㕦㜱㥡捤挷㜰扤㤳挷㔷㥥攲戲〵挷愲㌱挸㠳挶ち㠵㈸㈸㡦攱ㅡㅤ昳慤㤵戴ち戹㔴㈴㤶挵㐱㡣㑦㐴㈷㌴搳㜵㙦づ㠶㡤戹㍥㐴㘸㘷慤摡㠰慡つ愹㥡愵㔵〴〸㔴敤㐲ㄵ摥敡㑤㤷攲戵搱㐹㜳㈳搶て㠷㘸〸捤㐵㈵攲㠹㕣ㅤ㐶戵散愲㘴㔷㕤戹ㄹつ㤶ㄳ㌶㤵㘲ち㠴摡㥤㙥㔹摡ㄲ㤵摥㤱戳㈷戴㐲昱㜳㝥㡡户〲愴㍡挵捦〴㔲捣扣㉤愱㌸〲㘳㔰扣㌷捡散愹ㄱ㐵搹愱ㄸ摣㐶㉣㍢ㄹ㠹㐷㈳㔹摣捦㘴戲㠹㙣〴ㄳ㘲㈱ㅤ㈹㔸攱㝣㈶㙤挴㍣㘸㈶㤷换㘴散㌴㉥㑤㌲戹㌸㑥㝣改㘴㈱㥤捦㈶散㐸㍡㡦〹㉤㤷㌱攲ㅥ戴㄰㑥㐴愳㜶ㄶ㔷戰㠹㐸摣㑥挶戳㤸㙥昳㤹㜸㌴ㄵ㡥㐴㜳㌹㉢㙤㈴㍣㘸㈶㠳ㄸ㘵ㄲ戱㔴㉣㠳㜳㈵㍡㄰挵ㄵ㉤づ愶㔴㈶㤵捦挶散㙣㘸㥥摢㘹㌳〹ㅢ㌳㐵㤱愶挸㐰㠴昶搱㤵㕢㔳戵つ挵戶ㄴ愳㔹㘹改㑡戱㈴扥㘸慥昲愸㤴戰摥敦㠶㔵慥㌵挷ㄳ㌴〱愲㈱㘴㙢敢愰戰ㄶ㜴攵㈴ㅡ㉣㘷っ㘷㔱散っ愱收愳㔲挲㍡つ㤵㕥㔸昷㠳㔶挲晡㌷㕦㔸㑤ㅥ㌹㜲㔱㜲㜳㘰〴ㄷ挰㐸㈲㌸ㄳ㌸㐴戰〵㘵㌹㐸㜶㐶搹㍤愵㘵挳㔱㕣搶挵㜰户㥡㤶愹㈷㤱戰攳戱㤴㥤㉥攰㤲㈴ㄱ㠹ㅡ戳㍣㘸㉥㠶ぢ㠷㔴㍡㤷挲㔹㉡㥥㑤攷搲昹㔸㈱㤹㈸㈴昲ㄱ捥㜲〵㍢搴敡扡㌷㘷挳挶㥣〳ㄱ㙡搳慡攲㐱挲㤴㌳㘱换㐳愹づ慡昰㔶㔷扢㙣捡㐱戲〷扤散〹搱㄰敡㐴㘵搵㠳愴㑢㔷㕡㌴㔸㑥㈲昹〵㑦昲㙢〹敡㐰扡㘵挹㐶愵挷收㈲㘸㠵捤ぢ晣㙣昲㠶㑣搸晣㑢㈰㥢㡢㘱㈴㙣㌶挳ㄵ搸㍣ㄸ㘵㌹ㅥ昶㐳搹㘱戳㤰㑤㘶昳㜹㍢ち㍡㔲㜱摣昸愷攳㈹搰㠵㕢愵㕣戸㘰挵ㄲ㐹㘳㠱〷挵搵㌹㉥〳㘳戱愸㥤〸攳㈲㍤㥥㑤攰敡㌰ㄲ㠹㈴攲愹㙣〱攷〰愳挵㠳㠶搳㌶づㄲ散攴㜶搴㐶㡣㜰ㄱㅥ挵㘱㘳攳㉥㉤ㄲ㑦ㄷ㌲㘱愳搵㠳㘶愳戱㐴㌸㙦㈵ㄱ㈸㥣捡ㄲ㔱㉢ㄲ挶㔹〷㤷ㄴ挹㕣搸㡡收挲愱㐳摣㑥㥢晣㔵㈷戳㥤㘲㝦㡡〳㈰㐲㠷敡捡づ慡㍡㈹扡㈸ㄶ戲㤲㜹㙤ㄲ〳㌱ㄲ㜳ㅡ㠹戹㍡ㄲ㤵ㄲ挱攳摤〸㑡㠴て㘱晤愱㄰つ愱愳戴㜵搰昱㜰戴慥㍣㡡〶换ㄹ㉥㡢㘲ㅦ〸㜵㉣㉡㈵㠲挷愱搲㡢攰昱搰㑡〴て昶㐷㤰ㄷ〸ㄲ挱㐵㠱ㄱ㘴㑥㥡㐴昰㐴戸㐲〴晦㠴戲㐴昰㈴㤴㥤〸㘲愵㈵ㄶ㐹㠶慤㔴㉡㡤攳㈰㠲㤵㥢㈴敥愶戳攱㐲㈱㕣挸攱㐶挷㌸搹㠳挶敤ㄸ敥㤰㌰㡦㘵昲戸ㄳ捥攰昲ㅣ㈷ㄹ㉣攵挰㐵㌶〳扡㡤㔳㍣㘸㌴㤳挳㠲㑦㈶㤳㐷愰攳攱㈸慥〱㜲〰㐶㜰㐶㑡摢搱㜰戸㘰㥣敡㐱戳㔶ㄸ㜳㘸挶㡥搹㕣昴挹挶搲搱㤸㤵㐷㑢㌹摣扦愷挳戹㔴攸㐴户搳收㘹戰㌱㑦愷㌸㠳攲㑣㠸搰㐹扡㌲攸㕡攰㘴㕤㈹㐶挴㍢㤶㜴愴㑥㐳愵㐴戰攰㡦攰ㄲ㠲㉥㠴㘸〸㌱㐱㑥攲ㅦㄴ挱㌳㜴攵㘵㌴㔸㡥㈰挸敦㜵挸㉦㜷愸戳㔰㈹ㄱ扣㡡つ㌱愶㝣㥦つ慤㐴㜰昷挰〸敥ㅡㄸ㐱愶扦㐹〴慦㠵㉢㐴昰㕣㤴㈵㠲㑢㔱㜶㈲㠸昳㐰㠲愷㈵㉣慤㈵戰愸ㄱ㑤㘷搲㌸㉢㐵戳㜹㉢ㄶ换挴戲㔹攳㍡てㅡ㑦攱敡ㅣ昷捡㤱〴㉥愱ㄳ㔸晣㐸挷㜰攷㤵㡤愴㤳㠹㐸㌶㤹㑡ㅢ搷ㄷ愱㤹㠲㡤㔵ㄲ㕣攴㠷挳㜱慣㤴㘴慣㘴〱㑤攰㤶㉡ㄵ捤攳㉢搴㡤ㅢ㍣㘸〱换㠵㌹摣㙥㐷㔱㠱㙢扥㐴〶挷㈲㡥㑡㕣㌲ㄶ㔲愹㔴㈴ㅥ㍡捦敤戴㜹㈳㙣捣㥢㈸㙥愶戸〵㈲昴ㄷ㕤ㄹㄴ挱昳㜵㈵愱㡥戹㔸搲㠷扡㄰㤵ㄲ挱敤晤ㄱ扣㠷挸㝢㈱ㅡ㐲㑣挶慢ㅡ挱㡢㜵攵㠳㌴㔸捥〸戶㔳昰て㙡搵愵愸㤴〸㍥挲㠶愸攱晢㜲㘸㈵㠲㕢〷㐶㌰ㅤㄸ挱㉢㘰㈴ㄱ㝣ㅣ慥㄰挱㉢㔱㤶〸㍥㠱戲ㄳ挱ㄴ㘶㔰㉣户愶㜰ㅢ㤴㡥㠷㜳戶㠵ぢ戹㕣戲㘰㘳㘲㐴〴慣㤸昱愴〷㡤㠳搲ㅣ㉥搱㌳㤶慣㡡愴搳㠵㔸㉥㤱收捦扥㈵搳㤸晣㈲挶㌲て㥡挴㔹㉥㥡㑤攵㜲昸戱户㜸〲昷㔰㤶㡤慢㡣㔸ち㤷昸㘹㕣晢挵㡤愷㍣愸㥤挰昵〴搶㔴㘲㤱〲㠲㡤㈶㌳戸捡挱㥤㕥挶戶搲㘹㕣改㠴慥㜲㍢㙤晥ㅢ㌶收搳ㄴ捦㔰㍣ぢㄱ扡㕡㔷〶㐵㤰昹㠱ㄲ㠳愲㤱昸愰愵㕡㡡㑡㠹攰挶晥〸扥㐶捦慦㐳㌴㠴慥搳搶㐱挷攰昵扡昲ㅤㅡ㉣㘷昰昸㈵㘷收㐲挶敡㐶㔴㑡〴摦㘷㐳搴昰㝤㌳戴ㄲ挱昵㝣ㄱ㌴㍥〴愴晡挵攲㍡㠱㘱扤〵㥥㈴慣ㅦ挳ㄸ㘱晤ㅢ捡ㄲ搶㑦㔰㜶挲捡ㄵ挹㉣㔶㤷㜸㌲挳㍡㜶㈱㔳挰搲㈱づ㡢㤸㡤搸愶㜳㌹攳㔳てㅡ戵挲攱㔸㌲ㅡ捤攱㝥ㄹ㙢㤸㈹慣㑥攵ㄲ㔶㌶㡣昹ㄲㅦ挹戸昱㤹〷㑤攲㈶㉣ㄲ挶㐵㝢〲ㄳ戶ㅤ㑤㘱㝤㍥ㅡ挱㍡㝡ㄴ㍢ぢ㝥づ捣㌶㍥昷愰㔱慣㤳㐵㜰㉦㠰㝢㙢㝣ㄴ攲㕣㌴挱㥢昷㘵攸㕡摡づ摤敡㜶摡晣〲㌶收㤷ㄴ㕦㔱㝣つㄱ扡㑤㔷㝥㐳搵户ㄴ摦㔱慣㘰㈵昳ㄳ㈵慣㘲改ㄹ㠹て㜵㈷㉡㈵慣㠶㍦慣㉢㘹晣㌳㐴㐳攸㉥㙤ㅤㄴ搶扢㜵㈵㝦㝢捣〹敢㘱っ敢愱っ攰扤愸㤴戰搶愱搲ぢ敢晤搰㑡㔸㝦晡戱㜸㥢㘵㝡㤷㌷晦㠵戶昲㡥敡〱ㄸ㐹〴昹㈳㡥㠸攰㍦摣㜶㡤〶㤴摤〸攲㜶㌷㠲㔹㌴㥦㤲换挳㙣㌶㠵ㅢ攴㍣㉥戹㤳㠹㌴收挰㠸搱搷㠳㕡㍣㠶㜲㔱㕣〹㈱㉣戹〴づ㥤㍣慥ㄷ愳ㄹ㉣㐱㜲攵㌲㙣昴昳愰戸㠵捥ㄵ戲ㄹㅣ㙡戱㔸㍣㘱愵慣㈸敥扥㜰㜱㤴捡攰㔴㠸㠵㐹愳扦〷捤㘳愹㈴㠷㍢㡣㝣摣㐶搰㔲㜸挰ㄲ捥愴戱㠳ㄴ㉣晣㜰㘳㌸ㄵぢ㍤攸㜶摡㕣つ㌶㘶㈳㐵㠸㘲〰㐴攸㈱㕤ㄹ戴戴晣戰慥ㄴ㑢㌱ㄲ㜳㕡慡㐷㔱㈹ㄱ晣〰搴㜹㑢换㠳攸㜹㌰㐴㐳㠸㌹㡥ㄲ晦愰〸晥㑢㔷づ愵挱㜲〶敦㔸㡡㘳ㄸ挱㈷㔰㈹ㄱㅣ挱㠶愸攱㝢ㄹ戴ㄲ挱㔷晤ㄱ摣ち㝢㡢㕣摥扣ㅣㄸ挱愷㘰㈴ㄱ摣っ慥㄰挱㝦愳㉣挷攰收㈸㍢ㄱ挴ㄲ㝣づ㉢ㄶ戹㔴捡㡥挷㜱慢㤴㡤㘲昱て愷㌳ㅣ㉢戸扣挴㌱㌸搲㠳㘲㜹ㄷ慢㤵㜱摣戰攱㐲㈴㕥㐸愶戱〶ㄹ㑤㘳㤹㈳ㄷ㡤攰摣ㄶ㌳戶昰愰㤱㜰戶㄰挵㔹づ㤱挶㉦㘸㐶㜳搹㔴㈲ㄹ挹ㄴ戰㍥㡣扢〹慣㤴ㄸ㕢㝡㔰㑣戸戹㜰㉡㥡㐹攴㜲㜸㉣㠰㈵㤳㐴摥づ挷慣〲㤶㍡昲愹㙣㍥ㄹ㘲㜶愵㌰㌹ち㌶收㔶ㄴ㘱㡡〸㐴攸ㄹ㕤ㄹ㜴挳昶慣慥昴昰㡥㌹ㅤ愹晦愰㔲㈲昸愸㍦㠲摢搰昳戶㄰つ㈱㈶㔴㔶㡤攰㡢扡㜲㉣つ㤶㈳〸昲慢㔰昲晢㔰敡㘵㔴㑡〴㈷戲㈱㐶㡦敦㔷愱㤵〸摥敤㡦愰㜷㠱㝡㘷㘰〴㕦㠳㤱㐴㜰ㄲ㕣㈱㠲慦愳㉣ㄱ㥣㡣戲ㄳ㐱㉢㙤㕢〵㍣㕣挴昲㔰〱㌷㙡攱㙣㉣ㄶ捥㘶㌳㌱㍣㡢㐹攲慥㈰㘷㑣㈹㐲㘳搹〸㜸つ㘳㘵ㅦ㡢捥改㔴㥡㡦㈵㔳㠹〸㑥㡤㤱㑣ち戳攸㔴て㙡㘳㈵㌳㘵攱㤶㍢㥦挱㔵㈷㥥㐶㘶㈳戸㝥挲摡㈲挰昹㜰㈶㙢㑣昳愰昹㜰ち㡦㌹搳〹ㅢ愷㘸㐴㄰户昳㤱㐲㌲㙢攵戳攱㔴愶㠰愳㌶挴㔴㑥㘱㜲㍡㙣捣ㄹㄴ㍢㔱捣㠴〸扤愹㉢㠳㑥㡥㙦改㑡挱㡢㈵㡤㑣㍡㔲敦愲㔲㈲㜸戵㍦㠲㝢戰㝥㑦㠸㠶搰㜲㙤ㅤ㜴っ扥愷㉢㉤ㅡ㉣㘷〴捦愲攰㜷〹慡て㔰㈹ㄱ戴搹㄰㌵㝣㝦〴慤㐴昰〲㝦〴扤㘳昰㉦㠱ㄱ晣ㄸ㐶ㄲ挱㘶戸㐲〴㍦㐱㔹㈲戸ㅦ捡㑥〴㜱戲㠹愷㘲〵㑣㥡㌸て㘲㌵搷挲㕤ㅣづㅢ慣㙦挴搳ㄶ搶愸㡣〵ㅥㄴ戱㑡㘶愲㔸搳挷㔵て㔶㥤㌳ㄶ㠳ㄹ攵㙡㐷㈴㤹挵愵慢搱攲㐱慤㉣ㅥ慥㘱㥦挸攳ㅣぢ户㔸㘳㑣攰晥ㄳ昷㤶㌸戴㉣㉣昹ㅢ慤ㅥㄴ㈷㔵慣㙤搹㤸㍣㤳昹㌸慥㜵昱〴挹㡡㈶㜱㠹㡡㥢搷ㄴ㘷搱㑦摤㑥㥢㙤戰㌱摢㈹昶愷㌸〰㈲昴㤹慥っ㍡〶㍦搷㤵㐵㈳昱㐱㑢昵ㄵ㉡㈵㠲挷晢㈳㜸〸㍤ㅦち搱㄰晡㕡㕢〷㐵昰ㅢ㕤㜹ㄴつ㤶㌳㜸攷㔳昰换㄰搵㜷愸㤴〸ㅥ挷㠶愸攱晢㝢㘸㈵㠲〷〷㐶㜰㔱㘰〴㝦㠰㤱㐴昰㐴戸㐲〴晦㡢戲㐴昰㈴㤴㥤〸㘶戲ㄹ㜰㠵㥢㠷㍣慥ㅤ㜰昱㠰㕢晢㑣㍥ㅤ挳扡㉤挲㥡㑢搹挶挹ㅥㄴ㑦㍦㤳㌶づづ㐴〵ㄷ㌳㜱摥㌸㘰挵ぢ晣愷攳㤸㐴㜳㘹攳ㄴて㡡㠷㙥ㄹ㉣扣㐴ぢ㕣㠶捥㠵搳戸戳㠸㘶㈲㠹㈸㕣昳攸㡡ㄹ愷㝡㔰散ㄷ㔹㍣ㄵ挲摣ㅤ㑢挷戳戱㈸㐴挴㡥攵昰㜸㄰〱㐷㌳愱ㅦ摤㑥㥢愷挱挶㍣㥤攲っ㡡㌳㈱㐲㍦改捡愰〸慥搴㤵愵㐶攲㐸晤㡡㑡㠹㘰挱ㅦ挱㈵昴㝣㈱㐴㐳攸㌷㙤ㅤㄴ㐱搲㈸ㄳ挳㘵㌴㔸捥攰㕤㑡挱㙦㜳㔴戵愸㤱〸㕥㠵㑡㉦㠲扤愱㤵〸敥敥㡦愰户散戵㙢㘰〴敢㘰㈴ㄱ扣ㄶ慥㄰㐱㘶㤸捡戲搷㔲㤴㥤〸摡㕣㉥捣㘲晡㑣搹摣㠸㕢㌹㍣昰㑥㘰㔶戴ぢ㈹㉣敡愷㡣敢㍣㘸㉣㡦㝢㠴㜴㌸㥦挵㌳搷㌸昲㌸搲戸㤶挱晤㕣㍡㡡㥢㠸っ㤶挴㐲捣㕤㤵攵㡥敢㘱㘳摥〰ㄱ㘲捡慡愸㡡换㕥㑣㘰㉤㐵愹㝥㔴㠱㌰㌵摤㘵㔳㤶扤㙥愵㤷摢㈰ㅡ㐲晤〱挰晦攰戵攱搵㜴攵㕤㌴㄰㌶昹㘵㡥收搵㘴㌳㠴㑡㘱昳㍥㔴㝡㙣㌲搷㔴搸ㅣ攷㘷搳㥢搱㥡〲搹㘴挶愹戰昹㈰㕣㠱㑤㘶㤷攲㝦㡤昱㄰捡敥昱㤰换㐵戰㤰㠵搵㕣㔰㤴挴愹〹㑢ㄶ戸㘷攳㌹㍥ㄷ挳戳㐵攳㘱て㡡ㅤㄵ㔷〵㌸㈹攱晡㍢㥥づ攳㙣㠶㡢㍥慣㙤㔸㜸㤰㤵捥挶㤲挶㍦㍤㘸ㄸ慢㉥㤹㘴㌴ㄲ㉢㘰つㄸ换昸㜸㠸㥤挱㤹㈶㠶㘵攳㈴㡥戸㠲昱㠸〷㉤㠴戳㔱㍣㔴挳愹㌱㥣挴愱㠳㐳〳㌷收〹摢㡥收㜹㘱ㄱつ㠷〶扡㥤㌶ㅦ㠵㡤昹ㄸ挵扦㈸ㅥ㠷〸㌱ㅤ㤶㈳㌲㥦愰敡㐹㡡㘵ㄴ㑦戱㜲㙤㕤㔹㌴ㄲㅦ戴㔴敢愱㔲㈲㌸捡㡤愰㐴昸㜹ㅡ晦〷愲㈱㌴㐸㕢〷ㅤて㠳㜵攵㉢㌴㤰〸昲摢㈸攵㘷〰搵〶愸㤴〸扥挱㠶ㄸ㔳扥㠷㐰㉢ㄱㅣ收㡦愰㜷㍣っ〹㡣攰㔰ㄸ㐹〴摦㠱㉢㐴㜰ㄸ捡散愸昱㉥捡敥㌹㈹㥦戲㤳〹㉣㑥㐴戸㘸㤲戵搳搹㘴㌲㡣慢敦㘸摥㡡搸㔸つ㌳㤶㝢搰㍣㥥㡣攵戲㔸㕡㉣㈴戱㤰㡦〳㈹㤵㡢搸挹㍣搶㔶ㄲ㜸㍡㤹捡㠵㌶㜲摤㥢敦挱挶㝣ㅦ㈲㌴㕣慢㡡挷挳〸慤㈲㐰愰㡡〹戰挲收㕡㉥㥢㜲㍣㝣捡晡捦㈰ㅡ㐲捣㠱挵晦攰攳㠱戹戱㔲昹㌵つ㠴捤摢㠹扤つ㐲㙤㠱ㅡ㘱㜳〵㉡㍤㌶㐷㐱㉢㙣㌶昸搹㥣㑢㉦㝣搲㕦ㅦ挸㈶㌳㕣㠵捤ㅦ攱ち㙣㠶㔱愶㠵昱ㄳ捡づ㥢㜹慣〹㠵㜱昳ㄲ戳㜱昳㠳㙢慥㜴〱ㄷ扤㐸搵〸攳㑥㈹㤳捦㐵㡣㤵ㅥㄴ㡦づ昱㌸ㄱぢ㝥㌸㜱㘳㈲攲㈵㜰㈴〱㘲㜱㔱㔵挸㐷㜲㜸愰攸㐱ぢ㤸㝢㤲㌸〰ㄲ挸〴㡢㈷昰〰慢㤰换㘳㠱㌲ㅣ㐹收敤っ敥㙡㡤㕦㍣㈸㌲㜸散㕣㈴㤵挱㤹ㅥ捦㑤㜰ㅡ戱㉤㜸挵晤ㄷ㔶㠳攳㐸昷〸㐵摣㑥㥢扦挲挶晣㡤愲〶摦〹㘵昲昷愵㐳㑣扦攵㠸〲㔳挶㤸㤶㉢㤵㠴㍡㤶攲㠳收㡡戹戶ㄲ挱敦晦敢扢㑦敡㑢㘴㍦㠸㠶㔰㑡㕢〷ㅤて㑣挳ㄵ搷〳㘸㈰ㄱ扣㤷摤攰㌷㝤慡慤㔱㈳ㄱㅣ挸㠶愸攱㝢㕢㘸㈵㠲㥦愰㐱晤㐰搱昴㘶戴㡦愰慤扣搳ㅤつ㈳㠹攰扡㜰㠵〸㙥㠷㌲晥攳搹㈱捡㑥〴昱㐰ㅦ㜷㐹戸〵挲戵㔴㍣㘵㘳〱㠸搷捥挹㑣㡣て戰㌰㔷ㄹ㠳㍣㘸㈶㡢㡢㈷ㅢ戱〳攵戸㤰㉢㈰㉣㌶ㄶ攵㤳㔶㈲㤵挱摤㔲搲ㄸ散㐱㜱㐷㡢ㄳ㍡㤲㌴㤲㜸㈴㡣㍢㌱㕣昶挵攳昹〴慥〳搳㔸㔷㑣挶㡣昵㡢搰㌴㈲ㅢ㐳扥㐸㌸㡡戴㐰㕣㈱攲㙣㠳㈴〱㘴ㅤ㘲昲㐴㐶㔵㘸㡣摢㘹㜳〳搸㤸ㅢ㔲っ愱ㄸちㄱ㙡搲㤵㐱㌳摡㔸㕤㔹戴愴㤱㤸慢〹愸㤴〸扥攸㡦攰㐸搶㙦〱搱㄰㥡愸慤㠳㈲挸扣㕦晣挷摤ㅡつ㈴㠲て戳昸㄰㘳㈵㜹扢㉣㈵㔰改㐵㤰㜹扢ㄲ挱㈷晣ㄱ昴敥㤳晥ㄵㄸ挱㈹㌰㤲〸㘶攰ちㄱ㥣敡戶㙢㙣㡤戲ㄳ㐱慣晦攰昹㐷㌶㠶㌰㐶㤱ㅥ㤱戱㜲㔸㕣挰㉤ㄲ㈶㉥攴攰㠴戳挶㌶ㅥㄴ㡦㉢㜱摤㥣挴㈴㠶㤴㌶愴㜸㘶㜱㔸㈵戰㙥㤱捦收㌲㌸ㄴ㈳挶戶ㅥ㌴㡢㙢㌱㕥㤲㠷㜱挰挵㤳㔸ぢ㑣㐶ㄳ㐹㈴搰㐵㈲㌱㉢㥣㡢㘶㡤搱ㅥ戴㠰ㅢ攲〲搲㍦戱挸㤵㠸㈷㜱㠷㘴攱㐲㌰㤶挶㌱ㅣ捥㈵ㄳ㤹㜸㘸㥡摢㘹㜳㍢搸㤸㘳㈸㥡㈸挶㐲㠴愶敢捡愰晢㈴愶ㅣ攳㍦搲㈸㌴摥戱愴て挵㍣㘲㠹攰摦晤ㄱ㥣㐲攴㔴㠸㠶㄰㔳㠹挵㍡㈸㠲㑣㌱㤶捡㤹㌴㤰〸㍥挱㤶昸㕤慢愱㌹愸ㄱ摡攷愰戲㝦㘳摤㙥㈸㙦㔳㤶改ㄹ晣戵㡡㈳换㝦搸㜲㈲㝥愸㤲㝦㄰㔴搳ぢ摦㈷攷㝣ぢ㕢敦摡慤晦㤸㉦收㤲慥て㔷㝣搷㉤挵愸晦〷㝥戸㕦ㄶ昳㤲改㜱㐳扣捤戹ㄸ㜰摤摥ㄸ㙥㌸愸㡢㑥㝥改㉣㝣㤱㥥㍤㙡晣戸搴愸㠹㡢㜲㜶换㜸扢愵〵㐹愴㤸㕡㙢〶戶㑥敡挴愶摤搱㌹扢㝤㉣㝥昵㙦㕦昹㌹㍡攷愷攱愰ㅦ愹㝦㙦㜱㠴捥㍣ㅤ搹㍡㌶摢㠹㉦昱散戲戵搹㡣づ捦づ扦㕦㠸ㅣ㘷戱挳户㌴づ㉣㤶㝣摦㘲㌷愸愸㥤搴搶㠹㕦ㄲ戵昳摡㘳㘷㡤挲摦㌷昷㔲㠱㕦㉣㌹愱扤搵㙡㙥ㅢ挵慦慤愳㌷晣㤶攸愴㍣〹ㄸㄴ昰ㅤ㝥攳㥡扢攴㍢㌰昹挷㌲捡摣ㅤ攴ㄸ扢㠱㈶㘳昴昰㕤㠷㐷搲㜵㔷㈳㄰扦扢㡤㔲摡搹㈲摣攱㝢㜴昷㠰㐳㌵て摢攴㕥㤹㝢戰㤱扤㥣㐶㜶㐱㈳敡㜲㌴挲㠶戸㈷㌵㤸昳㠸摥挷㐳敦㐹戴攵愰攷ㄲ㝤戱㡢敥㈵攸ㅣ搱㤶㠷摥㡢㘸ㅢ扡攰ㅦ攷挵㠸㉥㠰㜹攰搷敤扡慣㈱㥦㔸搳㍥戱㙤㈱扦㐴挷户㉢㜱㑣㝣㌵㤸晢戲摤㉣㕡㘳挷昱㔱愳㜲㙥㠱晤㔲㜹户挰㈱㈱㤹扡愶㠶捤㘲扢愶㜱〱ち摣㥤昸昶扤扥ㅡ攳ㄶ㥡㥣捦㝡昷㌳攴㝥慥搹搴搸愲㉤昷㔲㐳捦ㅡ㕢昷昶ㄱ㤷㝣扤㜴㥢ㄱㄷ摤昴㥢晢㜹㠴㘳㔹敥㈹搴愴づ㠰攵〸搴㥡敦㔰扣㑢挱㐹㐱㥤㠳㑥扤㡡摦攱慢昸ㄱ挳戳摤㡡昲ㅦ㌱っ㉤㠴㈷㤹㍣㕡㌱晥晥㡤㙡㌱捡㥣㐰搴㔹戰攰㔱㑢㠶捣㜶㤲㜳㌸搴㑥挰て挶㤶㜱〰㜴搸慢㄰昰愸㍡つ挰㘲挰㍢㠹㍥挲㐳ㅦ㐲昴㐲〷㡤㝤㌰慡㑥㜲搱搰㠳昸㠳㠸㍥搲㐳ㅦ㑡昴㘲〷㡤摤㈳慡㡥㜷搱捥敥㜱〸搱㐷㜹攸挳㠸㍥っ扡㉡扢㐷㔴ㅤつ㜳ㅤ慢〶昳〸㥡㜳愱搹㡢昲㌱㙥㐱愲㝣慣㕢㤰㈸ㅦ㠷㠲戶㙣㍣ㄹ㠵㍦ㄶ攵㔳戴㘵昷㔱㕥戳〹㙣攰㌵扣㐹㍥㙡攲㑤敡㑣㔸〶㐵昹㌰っ㈹㌰捡㠷扡ㄵ攵扦搴ㄸ㍡〷㥥㈴捡挷㘱晣㠸昲昹㈸㑢㤴て㠶㠵ㄷ攵ㄳ㐸捥挵愸㜲愲㝣〱戶㡣ㄳ愱慢昸㌵敥戰㍡戰㠴搵㤳㘹㜸㠹㘷戸㠴㠶愷㐲搷㘷昴昰戱攳㠶㐷挲慡〳㜰㌲敥挴昰㜴挲㉦昵攰ㄷㄲ㝥愶ぢㅦ㑢㜸㥢ぢ㜷收㡦㍦ㄳ㝥㤹〷扦㠸昰㜳㕣昸㜸挲昷㜳攱愸挰晥㜴ㅥ攱㤷㘳摢ぢ昱ㄵ㙥㐱㐲㝣愵㕢㤰㄰㕦㠵㠲ㄷ攲敢㔰昸㘳㈱扥㕥㕢㔶ぢ昱㈱㙢摥戸挳㍢〷㜷㡤㜱㍥㡦ㅤ㜳攷〶挷㝤㍡昳捥搳挶愸㕢㘰ㄹㄴ㘲ㅢ㐳ちっ㜱摥慤㈸晦㉤捡搰敤昰㈴㈱扥〸攳㐷㠸敦㐲㔹㐲㥣㠵㠵ㄷ攲㑢㐸捥晤愸㜲㐲㝣㌷戶㡣换愰挳㠱㡣㐸愵搵摥㉥㤵㑥愰慥㈰晡〱て㝤て搱㔷戹攸昱㐰敦敥愲愱〷昱搷㄰晤てて㝤㉦搱搷扡攸戱㐰敦攲愲㥤愸㕥㐷昴㠳ㅥ晡㍥愲㙦㠰㉥㌴㝡㤸晢㠵㤶㐳㌶ㅥ㌲㥣慤散っ㍢ㅤ㈴晣㡥〳㌰㡤㑦ㄲ㡤㐶昹昶扤捡㘷捡㠰㌹㜷㤹戶慣ㄶ慡ぢ捥㤷搷ㄸ攷昳摡㌱挸摦挵敢搶㌱敡㔹㔸〶㠵㙡ㅡ扡ㄷㄸ慡愹㙥㐵昹慦㘶㠶㕥㠰㈷〹搵敤ㄸぢ㐲昵ち捡ㄲ慡挹戰昰㐲㜵〷〹㝡ㄳ㔵㑥愸㕥挵㤶㜱ㄷ㜴〸ㄵ收挵㠴摡ㅥ攰攲㌱㜵て搱㙦㜹攸搷㠸扥捦㐱㘳㠶㑥愸㜱㉥摡㈱晦〱愲摦昶搰慦ㄳ晤㈰㜴㔵㘶搱㠴摡づ收挵ㄸ㍣㑣昳㜷㍣昳㌷㘸晥㠸搳ㄸ㈶昸㠴摡摡㙤っ㝡散ㄷ㡦ㄱ晤㉥戶扤〳㜲戹㕢㤰〳昲㍤户㈰〷攴晢㈸攸㜶ㅡ㍦㐵攱㡦㐵昹㌳㙤㔹㉤捡敥㑥搳攴㝣敡晤㘴捤㈶昵㌵㉣㠳愲㥣挰㤰〲愳ㅣ㜷㉢捡㝦ㅡ㌴戴〲㥥㈴捡㑦㘱晣㠸昲㡦㈸㑢㤴愳戰昰愲晣㌴挹昹ㄵ㔵㑥㤴㝦挲㤶昱慣㐳㈵愲㥣㔲愳㕣㉡㥤〳昲㜹愲㝦昳搰㉢㠹㝥〱扡㉡㜱㑢愹捤㘱慥昹㙣㌰㕦愲㌹㔳㡥㥤挶㝥愶昹㉢㑥㘳㠸㕢㑡㙤散㌶〶㍤攲昶ㅡ搱捡㐳晦㐲昴ㅢづㅡ扢㔴㑡つ㜳搱捥㉥昵ㄶ搱扣㉤昲愲捣㥣㘷扤㠳㉡收㍥戳㈰㔱慥㐳㐱昷慡戱㉦ち㝦㉣捡晤戴㘵昷㔱慥㥣ㄵ搴〰㔸㡥挰㈰换慦㥦搶㐷て〳愳㍣搸慤㈸晦晤搳搰㐰㜸㤲㈸扦㡦昱㈳捡㑣㝣㤶㈸慦〷ぢ㉦捡ㅦ㤲㥣挱愸㜲㠸㕦て㕢挶挷搰慤㍥㝡㔸昱㉢㈷㘵扡㑢慡戵㘰愸挹㘹㌰㍦愵㈵ㄳ㤷ㅤ换㐱戴晣ㅣ㍡㑥搸㤳㠷㈷搵敡㐰㙢㕥ㅢ捣㉦㠹收㙡㥥㔶㈹㘶㐰㙢㙦㡤㑣㜰㘶㙣㝢㥣㌶ㅢ㤹〵㉤挸㙡搴㍡搳攳㕤㘳搴㘶㐰㡥〸愰戲扦换㔸挵愵㘸㍦户愲晣㤷㔴㐳㕢挲㤳㔰戹〲愳〰㤵ㄱ㤴㠵捡〶㔸㜸㔴晥挰㈱㌲昹搷㈱㠴㔹捦挶㡦搰昱㕡㘳ㄲ慦〶っ㤷ㄱ㘷㈷㕥㐹㌸ㄳ㡣ㅤ㌸㌳㥦㡤㕦㕣昸づ㠴搷扡㜰㘷㉦晥㡤㜰愶㈲㍢昰㌸攱慡扥愶㘶㉤㉦㔰昲ㄵ㐱捥愹〹搶扦晥攰て㔶㉦㈰ㄵ㜳㤲ㅤ敢〴慤敢愰㘳摦㜶㘴㘳㍦〱捥搰㌸㐷㜳ㅦ挲昹戴㠷㉡㜶㔷㙤攳ㄶ㘴㘲摣搶㉤挸㈱挳攴㘷㉦㡥捣㘸晥㘳㠷っ搳愰挵戲㕡㕣㥤搳摤挳敥改敦㜱昷㈶收敤㌱㙡ㄲ㉣㐷〴挴㜹〵㠶ㄴ㜸挸㝣攷㔶㤴晦㘰㙣㘸ㅡ㍣㐹㥣晢㘳晣㠸昳㑣㤴㈵捥摦挰挲㡢㜳㈳挹㘱㌲戲挳㈵㜳愳㡤〱㉥㤷㤳㠷㐷㘲敡ぢ㤷㑢㈷㜰㙢㄰㍥挷㠳㌳㍦摡ㄸ〸摤ㅡ㕥攰昰㠵㤹㜲㠴挱昴ㄳ㤸㙡㌲ㅢ捣戵〱㙢摣〳〶扦敦搰搸㔳㈳慢㔱攸㕣攴㥤㍤㐶㔹㐰㡥〸愰散㝤㤷㤹㡡㐳攳㍤户愲晣㈷㘶㐳㌶㍣〹㘵敢愳慦愰慣ㄹ㘵愱散㕤㔸㜸㤴㙤㐸づ摡㔰攵㔰戶ㅦ戶㡣愱搰戹㤷攱ㄱ昵㈶搰挵摤㙦㈳挲摢㍤昸〲挲㐷戸㜰㕣㔷㐷搴慢㉥摣㌹㤲㌶㈱㝣㝦て摥㐲昸㘶搰㔵摣ㅤ㐴搴㡢㌰㉣昲㍢㤲㠶〷㜸㠶慤㌴摣搲㙤〷㤷晢ㄱ昵㥣摢㡥ㄳ挹慤〸㘷慡戳㜷㔴㌰攵㔹㜷㕢㌱昵㤹〵㌹㉡ㄶ愲愰ㅢ㙡㍣〴㠵㍦㜶㔴ㅣ慡㉤慢㠵搴㌹㉡㙥㜵㡦㡡扢扣愳㐳ㅤ〵换ㄱ〱㈱㝥ち㐳ち㍣㉡㤶戹ㄵ攵㍦愲ㅢ㍡づ㥥㈴挴〹㡣ㅦ㈱㍥ㄱ㘵〹昱ㄳ戰昰㐲㥣㈲㌹愷愱捡〹昱㐹搸㌲㌲搰㔵戹〰㐸慡㐷㘱慤ㄹ㙡㌰户愱昹改㥥昹挹㌴ㅦつㅤ捥㈶戸〰㐸慡㠷㠰搶戴攳㈷搴㠹㍥挳㐳㥦㐲昴㔸〷㡤ぢ㠰愴扡摦㐵㍢㜱ㅢ㑦昴㤹ㅥ晡㔴愲㈷㍡㘸㕣挹㈴搵摤㉥摡㤹晢㜶㐰㑤攳ㄲ㘲挰ㅥ摦扥㔷攵〹摢愹昴㉤㥤㕣愸㉤慢㐵捣戱㜸扢㘲ㄱ㐶㕤〶换ㄱ愸㉤㍦昵摦㡥敥〵㐶散㌶户愲晣㔷㝦㐳㔷挱㤳㐴㙣ㅡ挶㠲㠸㕤㡢戲㐴散㙦戰昰㈲㌶㠳戴摣㠸㉡㈷㘲㑢戱㘵捣㠴慥㡥㤷昱ㄹ㜵㘳〹㉢戳〸扥挹〳㕦㐷昰ㅣ攸㜰晡㈹昹敥㑦攷晣㤳㔱㑢㘱㕤㡣敥㕣㕡摦散㔹㕦㑦敢摤㥣愶㜶㐱㔳㔷扢㑤㌹攱摡㠳攰㕢㍣昰つ〴敦攵㠰㜷〵昸㜲ㄷ散ㅣ晢昳㔰搱㜸て㈱㘰㙥搵愳㜵慦戶散㍥㕡㌵㑤㑥搴㡡㑢㈱敡㐱㔸㡥〸㠸搶㐵攸㕥㘰戴㉥㜴㉢捡㝦愲㌸昴〸㍣㐹戴㙣㡣〵搱㝡ㅣ㘵㠹搶〵戰昰愲戵㉦㔹昹㌷慡㥣㘸㍤㠱㉤愳ㄹ㍡ㅣ㈰扢っ㡦㠶搵戹㉥㉤づ㠷ぢ㠸㝥摡㐳㍦㐹㜴慢㠳摥㤵攸戳㕣戴㐳㘲㍢搱捦㜸攸㘵㐴ㅦ攰愰攷ㄲ㝤㥡㡢㜶づ㤰㑥愲㥦昵搰㑦ㄱ扤㄰扡攰㈳ㅤ收㈷挱扣戸㉦ㅣ〴㘸攳㙢㌴晡㐳ㄱ㝢㕤㕢㜶ㅦ㌱㝤愴晡㙥愰摥㠱攵㠸㠰㠸ㅤ㠷敥〵㐶散㔸户愲晣㌷㤵㐳敦挳㤳㐴散㌰㡣〵ㄱ晢ㄸ㘵㠹搸搱戰昰㈲㜶〴㜹晡〲㔵㑥挴㍥挱㤶㜱ㄴ㜴敥昵㘰㐲ㅤづ㜴㜱㑥㍢㠶昰㉦㍤昸愷㠴ㅦ〷㕤昰〵㕥㐲ㅤっ敢㈲慢㈷搰晡㉢捦晡㌳㕡㥦攸㌶㠶ぢ扣㠴㍡搰㙤捣㠹攱挹㠴㝦敤挱㍦㈷晣㔴ㄷ㡥㡢捦㠴敡㜰攱捥敥㜴㍡攱捣㘳搶摤㔵捣㘷㘶㐱慥〷㤹搷捣〲挱㙡〵ち扡㕦㡤㉢㔱昸㘳㜱晥㔹㕢㔶㡢㜳改㌲挸挳敥㝣晡捣ㄸ愵搰攰㠸㠰㌸户㘲㐸㠱㜱㙥㜱㉢捡㝦㍡㍡㔴〷㑦ㄲ攷㜳㌰㝥挴搹㐴㔹攲扣ㅦ㉣扣㌸㥦㐷㜲㔶㐳㤵ㄳ攷〶㙣ㄹ攷㐳攷㥣扡㌲慡攰㔲改ㅣ㙢㑢㠸㙥昴搰㝤㠹扥挸㐱攳搴㤵㔱㔹ㄷ敤㄰㝦〹搱㈱て摤㡦攸换ㅣ㌴㑥㕤ㄹ戵户㡢㜶愲㝡〵搱〳㍣㜴㝦愲慦㠲㉥昸挸㠴昹敥㌰搷戱挲㌲ㄹ愰㡤㠳㘸昴㠷㡥捣挱摡戲㕡挴攰㤵慦㈶㤱㜸攸散㝣づ㘹㔲㐳㘱ㄹㄴ戱㌹攸㕥㘰挴㘶扢ㄵ攵扦㜵ㅤㅡ〱㑦ㄲ戱ㅢ㌰ㄶ㐴㙣㌳㤴㈵㘲㍢挳挲㡢搸㑤攴㘹ㄴ慡㥣㠸㙤㡥㉤攳ㄶ攸〶㝡㤷攴扥㝢愹愴㥡㕥挲搲慤㌴摥捡㌳ㅥ㐹攳摢愱攳㝤敦づ戸敦㥤っ戴㍥ㄸㅡ捣㍢㠸づ㝢攸㉤㠸扥换㐵㑦〲㝡㝢ㄷ敤散ㅣ昷㄰ㅤ昱搰㕢ㄲ㝤㥦㡢摥ㄱ攸㜱㉥摡〹昷〳愸㘹摣㠶ㄸ㌰挹户敦愵攷㍦捤戶㥥〷㌵敢㜸挸戳慤戶散㈱㕥㌵晡㡥㕡摦㠱愹戱戰っ㡡搷㘸㜴㉦㌰㕥摢扡ㄵ攵㍦捤ㅤ㥡〸㑦ㄲ慦㐷㌰ㄶ挴㙢ㄲ捡ㄲ慦慤㘱攱挵敢㌱搲㌲ㅤ㔵㑥扣㈶㘳换㜸ㅣ扡攰晤㍡ㅡ㔵㐹㔸ㄷ昷敢㈷㘹㍥挳㌳㥦㐲昳愷愰㐳挴㜰㝡㡢慡㈸搰㝡㉥㙢㌰㥦㈶㝡㈷て㍤㤵攸㘷ㅤ㌴㑥㥤㔱㌵捡㐵㍢ㄱ㝢㥥攸㤹ㅥ㝡ㅡ搱㉦㌸㘸㥣㤶愳㙡㜳ㄷ敤ㅣ捥㉦愱愶㜱て㘲㄰㉡扥㝤慦摦ㄱ戱㍤戵㘵昷ㄱㅢ摥攴戸㡤扢㥦搳㥢㤴〵换愰㠸㡤㐰昷〲㈳㌶摣慤㈸晦㉤昱㤰つ㑦ㄲ戱㌷㌰ㄶ㐴慣ㄹ㘵㠹搸㌰㔸㜸ㄱ㝢㡢戴戴愱捡㠹搸㝥搸㌲摥㠱㡥攷㍥㥣㕦㘲㙡㠳ㄲ㕥㤶ㄳ摥敥挱ㄷ㄰晥扥ぢ挷搲㐹㑣慤攷挲ㅤ搲㍦㈴㝣㝦て摥㐲昸挷㉥ㅣ㈷扢㤸㕡换㠵㍢挷挹愷㠴ㅦ攰挱㕢〹晦ㅣ扡攰㌳㙢㑣慤づ敢攲摥昳㈵㤰㡤㠷搰〶慣昲敤㝢晤㡥㤸ㅤ慡㉤慢挵㑣㥦挷㉡㡥戲愳㘰ㄹㄴ戳晥攸㕥㘰捣晡戹ㄵ攵㍦㝦ㅥ㍡づ㥥㈴㘶㉢㌰ㄶ挴散㐴㤴㈵㘶つ戰昰㘲昶〳㘹㍡つ㔵㑥捣㑥挲㤶昱㘳㔵㥡㈲捡㈸愱㘹㈵慤㑦昷慣㑦愶昵㉦搰戹㔷㍢ㄱ㔵ぢ㌸㡦㌲㈷㠴扦ㄱ㝥㠶〷㍦㠵㜰㠵ㅦ摤㈳ㅣ㈱㡣愸㕦扦昷ㅦ㤴扤㔰愵捥昴攰愷ㄲ㕥攷挲戱㍦㐵搴㑦㉥摣㌹捥晡愰慡㜱〹㐱〸ㄶ摦扥搷敦㠸搹㠵摡戲愷㤸㌹㑦换敥㜷ㅦ挵㍣㍣㐶㕤〶换愰㤸慤㐰昷〲㘳昶㥤㕢㔱晥㡢敤愱慢攰㐹㘲搶ㅦ㘳㐱捣慥㐵㔹㘲昶つ㉣扣㤸㌵㤲㤷敢㔱攵挴㙣㈹戶㡣〱搰昱㘴㌴ㄹ㑦愸扥㈸愱㘵つ愲㙦昰搰搷ㄱ㍤㄰扡捡挵摥戴晡〴㤶挵㠳㘰㙤愰ㅡ㤹㘹捣攸攱挳晦慡㈴戴㤱改挸㠲散㥥㐰㉣搲㌲ㄹ㌹㠸戰昷㕤㕥㉡㔷愲摣㡡昲㕦㜸て㌱㜳㔹〸㕢ㅦ㝤〵㘱て愲㉣㠴扤ぢぢ㡦戰つ㐹〱ㄳ㜲ㅤ挲㤸㤳㙣っ㠵㡥晢ㅤ㤶㝣攲敡㑤愰㡢愷敦㡤〸㘷㈶慦〳㘷㕥戲㌱挲㠵㘳㈵㉡慥㕥㜵攱捥㕥扤〹攱㑣ㄴ㜶攰捣㑤㌶㌶㜳攱㜸摣ㅣ㔷㉦扡㜰㘷㘲ㅡ㐹昸攳ㅥ晣ㄱ挲户㠴慥㘲攱㉡慥㥥㠳㘱㌱ㅣ㕢搱昰〹挰昵〱愵㥥㜴ぢ㜴慣㤶戹〵ㅥっ敡㈹ㄴ戴㘵㈳㔳㡤昱扦攷㄰㍡〱昶㕤㉤㌰㍦㔹㉣慢㠵㔴㍦㌹搶㡢㡣捥㝣㜶晥ㄸ挵㙣攵愰㄰㍦㠵㈱〵ㅥㄳ换摣㡡昲摦戰て㌱戵㔹㐲㥣挰昸ㄱ攲㜷㔰㤶㄰㍦〱ぢ㉦挴㈹㤲挳㕣㘲㈷〸㑣㕡㌶㌲搰㔵㉥戸攲晣晣㘸〹慦摢搰昴㝤捦㤴㐹捣挶㘸攸戸㜷㑣收改晣㈱挰㡢㝢挷ㄸ㔴㌵㝥ち搰敦㍢㉡㍥搳挸㙡ㄴ㍡搴摤㌶㐶㝤つ㘴㄰㘵昷戹捣㔴ㅣㄵ昷扡ㄵ攵扦㝡ㅦ㘲晥戲㔰㌶ㄱ㝤〵㘵㑣㐲ㄶ捡敥㠶㠵㐷搹づㅣ㌷搳㜲ㅤ捡㤸㤹㙣㑣㠲づ搳〸㙥㑡㈲敡敦㈵挳㥥㐲㌴㜳㠰ㅤ昴㑡愲愷㌹㘸摣㤴㐴搴摦㕣戴戳㤳捦㈰㥡搹扥づ晡㘷愲㘷㐲ㄷ㝣昱〶昳ㅢ㘱慥㜷搸〶㜳ㄶ捤㤵㘷捥㥣㘵㘳㡥搳ㄸㄶ〶㈳㙡愹摢㤸㜳〰捥㐵㑤㘳㕦愰〱晢〳㍢㌹㤳㡥挵戲㕡㠴㥣挳㐲㕦㑣て㙦㜲捡愳㥡搴〰㔸〶㐵散㉡㜴㉦㜰㈷扦搲慤㔸昲改攳晤㘶㌴㑥㥥㝡搹戱㑢慦扢㘲㜰慦挷㐲〳攱㐹㈲戶ㄷ挶㠲㠸慤㡢戲㐴散㜲㔸㜸ㄱ㥢㐷㕡㤸㤰敢戰捡㑣㘴挳㠲㡥㝢㉡㈶㈶攴慥㤵昰㤲㈳㝣㐳て㍥㠸㜰摢㠵㘳㘲㑡慢ぢ㕣戸ㄳ戳㝤〹㘷㝡戰攳㥤ㄹ挹㐶㌳㜴ㄵㄳ㔳㕡㥤ぢ挳㘲戴ㄶ搰㜰愸㘷戸㍥つ㕢摤㜶㌰扤愶搵㔹㙥㍢捥㜹扡ㅤ㔵㡤㈳〹〲㤱㝣晢㕥㤵愷ㄵ愷搲㌷㈷㌱挳戸摢㜰㌹〷㔴㌱扢攵愷挳昷扢户敢捦㝦ㅡ愳㈲戰っち搷愹攸㕥㘰戸㑥㜱㉢㔲晦㕤㜴挱搴摤㘷㌴摤㍢昳㤳㜷慥晣㘲敢㈵愱〴㍣㐹戸ㄶ㘲㉣〸㔷〶㘵〹搷㐹戰昰挲㜵㄰㜹㘱昶慤㐳㈸搳㡥㡤挵搰攱〰挳㑤㐵㐴ㅤ敦搲攲散挵㠷㄰㍤挶㐳㙦㐳昴㘱搰〵ㅦ㌲㌰㍦ㅡ收挵㈰ㅣ㐱㜳愶〶㍢㡤㌱ㅢ搹㌸捡㘹っ昷㈴ㄱ㜵戸摢㤸ㄳ㠳㘳㠸ㅥ敢愱㐷ㄳ㝤㥣㠳挶摤㔱㐴ㅤ散愲㥤㍤攳〴搴㌴㑥㈱〶搱㔸昵㠸㌱愳戸摢㠸㌹㌱搶戱搷〷ㅡ搲ㅦ㘶挲㌲㈸㘲ぢ搱扤挰㠸㜵戹ㄵ㡢㉦晢戶昹㥢㡥㈱㔳敥㥣戰搶㘶搹㙦敥晥戶㙥づ㍣〵愶㘵昲㕢㕢㍢㐷㌹扦㔲㡥敦㄰戶㍢㐵搱㠸㉥搵ㄵ昸㠵慦㝤ぢ晣㙡㘱㕢㝥㉡ㅤ摦㝢摣摣搲㈲㕦ㄹ摣て㍦㔸摥戱挰敥㤸摡摣㘶攳㘷捡㘷㌵户扡摦ㅦ㍢愱㝦㠱扦晦慣㝦ㄲ摢㤴ㄲ㤳㡦㡤挲㡣づ晣㐶㜶㥦挲愴捥㌹㥤㜶扥扥㜵㈷慢慢换敥㘸晢扦昰㙢收昸ㄲ㘷晥㥡ㄱ㕥捥敦㤸〷㝥㝦㌲扦ㄸ㌹㌰㔷搷愱戰挸挷搴收捥㉥㈶㐵搷昲㜷捥搷㜰㤳㠲㈷ㅥ㘸户㜵敤㘸戵攵㕢散㡥愰㕦〲㤷㉣㘱㕡㉡㥡ㅡ愷㘲㤷昳㝦昳㜷ㅥ㌵ㅤ捤搹㠵㕤捤敤㙤扤㔵〷挲散晣挹挶㤱㌵扦〱㡥㔷㙤㡤㜹㍡㜷攰㌳㈰㝡㈱挹㔶晥㜸〰愲挱㍣ㄳㅡ攷搷搲㕦㈰戰㙥㉥㜶㠵昲〱昲㕢慤昹㘳㉥㌵㜵〷㌵攷扢收ㅢ昳敤收㝤攷㜷攱摢慢晢㜲搴晡搵㝢て㤸㜶㤷攵捣挳愵㑦敢㍣慢愳挳㕡㕣摦㍡慦挵㙥摢户㙢㝥晤扣〳㤱搴㡤㝥挳戸扥扥摥晣㌳晡挳愶昸㔶昳愰愴㔷昳㙣扦㤶㔹挷愲㍤挷慦摤㔷㙢捦㜵戵散㤷㙡㠵㤶㝢户㜱ㅥ戴搵㈹㥢ㅦ㐸搹昹戰㌱㉥㠰㈸愵㙣〹㌴㍥捡㔴㍢晣㤳㌶晤㔲捣愹㤵づ㕥〴愴㌷㤸㠳戴昶㘲扦昶㄰慤扤挴慦㍤㐲㙢㉦㜵戵昴慤㤸㄰㉡㠳戹っ摡敡㠳搹㍢㜰㌰㔷挰挶戸ㄲ愲㜴㌰㔷㐱攳ㅦ捣〹㘸愳㘴㌰㈷敢慥㕣〳㈴〷挳㤷㍡㕤㙢晦敡㙡㈵㕥捣晥㤴㠱㕦敢搷㥥愷戵㑢晤摡㡢愰㤵挱㕣〷㙤昵挱捣づㅣ捣つ戰㌱㙥㠴㈸ㅤ捣㑤搰昸〷㜳〹摡㈸ㄹっ㤳㈴愵㠳户〰改㐵收ㅡ慤晤㥢㕦㝢㥤搶摥敡搷摥愴戵户戹㕡愱攳㜶㘸㘵㌰户㐳㕢㝤㌰㤳〳〷㜳〷㙣㡣㍢㈱㑡〷㜳ㄷ㌴晥挱摣㠱㌶㑡〶㜳㡦敥捡㍤㐰㝡㠳㜹㐰㙢敦昵㙢㤹〵㈸〳扦捦搵㑡户ㅦ搳摡晢晤㔸收挰挹㘰ㅥ㠰戶晡㘰㥡〲〷昳㈰㙣㡣㠷㈰㑡〷昳㌰㌴晥挱㍣㡤㌶㑡〶挳㙣㌹改攰㈳㐰㝡㠳㜹㐹㙢ㅦ㜵戵搲敤搷戴昶㌱㍦昶㉤慤晤㤷㕦换㔴㉦ㄹ捣攳搰敡ㅦ㐹昱捦㤷戵㉡ㄹ㌸㤰㈷㠱㌷㤶㐱㤴づ攴㈹㘸晣〳昹㄰晥㑢〶昲愹敥挶搳㐰㜲㈰搲攵㉦戵昶ㄹ㔷换ㅡ戵㐲㜷敥㔹㘸慢㌳㍤㉡戰㠳捦挳挶昸て㐴㘹〷㕦㠰挶摦挱ㅦ捡㍢戸㔲㜷攵㈵㈰㍤愶㝦搳摡㤷晤摡㕥㔸㤳㤲愸扣攲㙡㘵㌰㝤戴昶㔵㍦戶㍦戴挲昴㙢搰〶㌳㍤㍣㜰㈰㙦〰㙦扣〹㔱㍡㤰户愰昱て愴ㄱ晥㑢㤸㕥㐳㜷攳ㅤ㈰扤㠱慣慤戵敦扡㕡改昲晡扡㜳换愱慤捥昴攰挰づ扥てㅢ攳〳㠸搲づ㝥〸㡤扦㠳ㅢ㤶㜷㜰㈳摤㤵㡦㠱昴㍡戸㠹搶㝥攲搷㡥搴摡㑦㕤慤㜴㝢㉢慤晤捣㡦㑤㐰㉢㑣㝦づ㙤昵挱慣ㅥ㌸㤸㉦㘱㘳㝣〵㔱㍡㤸慦愱昱て㈶㠵㌶㑡搸摥㐶㜷攵㕢㈰㌹ㄸ改攰ㄸ慤晤捥搵戲㐶㡤搷摡ㄵ㝥敤づ㕡晢扤㕦㍢つ㕡ㄹ捣て搰㔶ㅦ㑣㝤攰㘰㝥㠴㡤昱ㄳ㐴改㘰㔶㐲攳ㅦ捣っ戴㔱㌲㤸㔹扡㉢扦〰改㐵㘶慥搶晥敡㙡㘵㠸㝢㘸敤㙦㝥散㍣慤攵捦㘱㜸ㅥ㙣㘸㘵㌰ち摡敡㠳昹㜵㐵搰ㄵ㕡㉦搸ㄸ扤㈱㑡〷㔳〷㡤㝦㌰晢愲㡤㤲挱㉣搰㕤改〳愴搷㤵㜶慤慤昷㙢㍢戵搶昴㙢て搲摡〶㔷㉢〳㍦っ㕡ㄹ㑣㕦㘸慢て收扢挰挱昴㠷㡤戱ㅡ㐴改㘰ㅡ愱昱て收〸戴㔱㌲㤸㘳㜴㔷〶〰改つ收〴慤㕤摤搵㑡〷㑦搶摡㌵晣搸搳戵㜶㑤扦昶ㅣ㘸㘵㌰〳愱慤㍥㤸㑦〲〷戳㌶㙣㡣㜵㈰㑡〷戳㉥㌴晥挱㥣㠷㌶㑡〶戳㐴㜷㘵㄰㤰摥㘰㉥搱摡挱㝥敤ㄵ㕡扢扥㕦㝢㡤搶㙥攰㙡㘵攰㌷㐰㉢㠳搹㄰摡敡㠳㜹㍢㜰㌰㐳㘱㘳っ㠳㈸ㅤ捣㐶搰昸〷㜳ㄳ摡㈸ㄹ捣慤扡㉢㈳㠰攴㘰愴㉢㜷㘸敤挶慥㤶㌵敡ㅥ慤摤挴慦㝤㐰㙢㌷昵㙢昹㥣㔳〶戳ㄹ戴搵〷昳㘲攰㘰㐶挲挶搸〲愲㜴㌰㕢㐲攳ㅦ捣㘳㘸愳㘴㌰㑦敡慥㙣〵愴㌷㤸愷戵㌶散㙡㘵㌰捦㙢㙤挴慦㝤㐹㙢愳㝥㉤ㅦ〱捡㘰㘲搰㔶ㅦ捣戲挰挱㈴㘰㘳㈴㈱㑡〷㤳㠲挶㍦㤸户搰㐶挹㘰㤶敢慥㘴㠰㘴㤷愵摢ㅦ㙡敤搶㝥敤愷㕡扢㡤㕦晢愵搶㙥敢㙡㈵戶㝣㌶㈶㠳ㄹつ㙤昵挱㍣ㄴ㌸㤸㌱戰㌱㥡㈰㑡〷㌳ㄶㅡ晦㘰㝥㐰ㅢ㈵㠳㔹愹扢㌲ㅥ㐸㉦㌲扦㘹敤〴㔷㉢㐳散㠵ㄹ㔹㉥㑦㈶晡戵㝤戴㜶㝢扦戶㍦戴㌲㤸ㅤ愰つ扥㍣戹㌳㜰㈰㤳㠰㌷㈶㐳㤴づ㘴ち㌴晥㠱㌴挲㝦挹㐰搶搰摤㤸〶愴ㄷ㤵戵戵㜶扡慢ㄵ愶搷搷㥤㥢〱㙤㜵愶㙦づ散攰㑣搸ㄸ㍢㐳㤴㜶㜰ㄶ㌴晥づ㙥㔸摥挱㡤㜴㔷收〰改㜵㜰ㄳ慤摤挵慦ㅤ愹戵㜳晤摡慤戴㜶㔷㔷㉢㠳㐹㐰㉢㑣敦〶㙤㌰搳㔷〷づ㘴て攰㡤㍤㈱㑡〷戲ㄷ㌴晥㠱愴攰扦㠴改㙤㜴㌷收〱改敤㌲㘳戴㜶ㅦ㔷㉢扢捣㐴摤㌹ぢ摡敡㑣㕦ㅣ搸挱ㅣ㙣㡣㍣㐴㘹〷㙤㘸晣ㅤ摣愱扣㠳㔳㜴㔷昶〵搲㘳㝡㠶搶捥昷㙢㘷㘹㙤戳慢ㄵ㑥攷㙡敤㝥㝥散㕥搰ち搳ぢ愰慤㍥㤸戳〳〷搳ちㅢ愳つ愲㜴㌰敤搰昸〷㌳て㙤㤴戰㥤搳㕤㌹〰㐸㙦㌰晢㙡㙤㠷㕦扢㐰㙢㍢㕤慤っ愶㕤㙢扢晣搸㠵搰捡㘰ㄶ㐲㕢㝤㌰㈷〵づ收㈰搸ㄸ㡢㈰㑡〷戳ㄸㅡ晦㘰づ㐲ㅢ㈵㠳㌹㐴㜷攵㄰㈰扤挱ㅣ愱戵㠷扡㕡改昶㌱㕡㝢㤸ㅦ㝢㠲搶ㅥ敥搳搶㥤づ敤敦㕥づ攴㥦戹慦㠱㠵搳ㄶ㍢挷ㄵ扣㜱㔶愷㍤戲〵㑢㝡扤扡㕤ち攴㑡愰㜹〴ㅡ㔵㕣挳愳て昳㐸㕦ㄷㅡ晦散㙡敢戹敥搶挸ㄵ㌴㘲㥣搲㌹㈵㈵慥㤸㐹ㅤ敡㙢ㄴ㔷扤搸㝤昳㈸晡㕥攲搶㤹㐷晢㝤㕦愴㉤挴㌷ㄷ戴㡡扥㉦㈹㈹㜱〱慢攸晢ち㤴挴昷㌱昴捤戵㈷搶㤹挷晡㝤㕦攳户㘸攴晡㔲搱㌷搷㤵㡡㈵慥㈷㜹㈵挵㌵㈱昱㝤ㅣ㝤摦攴搶㤹挷晢㝤㜳搹挷戳㘸攴㜲㑦戱㜴㙢㐹㠹换㍢㔲㈷㥣摣㠱㤲昸㍥㠱扥戹㌲挳㍡昳㑦㝥摦昷㘸ぢ攱㠴慢㉦㐵摦昷改ㄲ扤㌵㜲戵挵慢㔳㕣㌱ㄱ摦㈷搲昷挳㙥㥤㜹㤲摦㌷ㄷ㐵㍣㡢㐶㉥㠶㐸㐹扣㍤愶㑢搲㉥ㄷ㍦㍣愴㝡ㄲ㈵昱㝤㌲㝤㜳敤㠲㜵收㈹㝥摦㑦㙢ぢ昱挶昵㠹愲晤昳摡晥㔴摡扦愰敤㑦昳摢扦攴户㘸攴昲㠱㘷摦挸㘵〳㈹㠹㙦㉥ㄷ㜸㜵敡つ㤴愴㙦愷搳昷㕢㙥㥤㜹㠶摦㌷敦散㍤㡢㐶摥搱㝢摥ㄴ敦捡挵晥㑣摡㝦愸敤捦昲摢昳挶扢㘸捦ㅢ敥㘲改㔳㕤㤲扥昱〶摢慢㔳㕦愲㈴扥晦㑣摦扣㌷㘶㥤㜹戶摦昷户摡㐲散㜹晦敢搹㌷慥㈸㈹昱㝥搷慢㔳扣㘷ㄵ摦攷搰昷㑡户捥㍣搷敦晢ㄷ扦㐵㈳㙦㐷挵㕥㕡晡㑤㤷㈴摥扣晤㉣晡敥㠵㤲昸㍥㡦敡㍡户捥晣ぢ㌶昴攴搶搸挷搵㍡㌳〱敦づ㍤晢㐶戳愴挴扢㐱慦㕤搵ㅦ㈵昱㝤㍥搵㡤㙥㥤㜹〱㌶㍣摦〳㕣慤攳㝢㜵㕤㤲㝥慦愱㑢搲㙦摥㥣㜹敤慡戵㔱ㄲ摦㑢愸㕥搷慤㌳㉦挴㠶攷㝢㤰慢㜵㝣て㉥㈹昱㥥挹昳搶挸㝢愵㘲扦㜹扦㈳扥㉦愲㝡㈳户捥扣ㄸㅢ㥥敦ㄱ慥ㄶ㔷㤹㌸㍥㜹㉢㔳昴戶㐹㐹㠹户㉥㕥㥤攲敤㠷昸扥㠴敡㉤摤㍡昳㔲㙣㜸扥户㜲戵㡥㙦摥㔹㜸昶㡤㤱㤲㔲搴㕦㔲扣ㅢ㄰摦㤷㔱㥤㜲敢捣换戱攱昹捥戸㕡㠷ㄳ㕥攸ㄷ㝤㙦㔳㔲摡㔶㤷㌸㐲挵㡢㜳昱㝤〵搵㘳摤㍡昳㑡㙣㜸扥挷扢㕡愷摦扣敥㉥晡㥥㔸㔲攲㜵戶㔷愷㜸扤㉣扥慦愲㥡㤷挹慣㌳慦挶㠶攷㝢㥡慢㜵晡捤㑢㘱戱㤷扥捤㐴㐹散慦愱㥡㔷戱㘲晦㔷㙣㜸昶扣㘲昵㕡㙣攴㤵㙡戱㌴户愴挴㉢搳愲敦㍤㔰ㄲ摦搷㔲捤ぢ㑢昱扤ㄴㅢ㥥㙦㕥㐴㝡ㄶ㡤扣㜸昴㝣慢ㅣ㑡㘲㝦ㅤ搵戶㕢㘷㕥㡦つ捦㝥㕦㔷敢㡣㙤㝥㐹愹㔹㤷㌸搲㐶㕥换ㄵ㝤户愲㈴扥㙦愰㥡㤷㘱搲户ㅢ戱攱昹㍥挰搵㍡扥㜹愹攵搹㌷昲ㄲ㑢㑡攲㥢㤷㔶㕥㥤㍡〸㈵昱㝤ㄳ搵扣㉡ㄲ摦㌷㘳挳昳㝤㠸慢㜵㝣昳捡愷攸㡤㔷㍣㥥户㐶㕥改㜸㈵㈵㤷㈰㘸搳扣〵㙡晤ち昱㔲㐴㤲〰晥㠶つ昳㔶㠸晥慢㈹戹愲㈰昴㌶㍦㤴㔷ㄶ〲扤㥤搰扦㍢搰㘳昰㈱㝤扣〳ㅢ晡ㄵ攲㠵㠲㐰敦挴㠶㜹ㄷ〴扣ㅥ㠷て㠱摥㡤つ晤ち昱扣㉦搰㝢戰㘱摥ぢ〱攸〹昸㄰攸㝤搸搰慦搰㥦㔰㄰攸晤搸㌰ㅦ㠰〰昴㐴㝣〸昴ㅦ搸搰慦㄰捦捡〲㝤㄰ㅢ收㐳㄰㠰捡挹ㄵ㄰昳㘱㍦㤴㈷㔹㠱晥㤳搰㐷ㅣ攸愹昸㄰慦㡦㘲㐳扦㐲㍣㥦ち昴㌱㙣㤸晦㠲㠰搷搳昱㈱搰挷戱愱㕦㈱㥥ㅥ〵晡〴㌶捣㈷㈱〰㍤ㄳㅦ〲㕤㠶つ晤ち㥤㠵㠲㐰㥦挲㠶昹㙦〸㐰晦㡣て㠱㍥㡤つ晤ち昱挴㈶搰㘷戰㘱㍥ぢ〱愸㥣㥦〰㌱㥦昳㐳㜹㥥ㄲ攸昳㠴晥挷㠱㥥㠷て昱晡〲㌶昴㉢挴搳㡥㐰㕦挴㠶昹ㄲ〴扣㥥㡦て㠱扥㡣つ晤ち昱㉣㈲搰㔷戰㘱扥ち〱攸ㄲ㝣〸昴㌵㙣攸㔷攸㐲ㄴ〴晡㍡㌶捣㌷㈰〰扤〸ㅦ〲㝤ㄳㅢ晡ㄵ攲ㅣ㉦搰户戰㘱扥つ〱攸㈵昸㄰攸㍢搸搰慦搰愵㈸〸昴㕤㙣㤸换㈱〰扤っㅦ〲㝤てㅢ晡ㄵ攲っ㉣搰昷戱㘱㝥〰〱攸ㄵ昸㄰攸㠷搸搰慦搰㤵㈸〸昴㈳㙣㤸ㅦ㐳〰㝡ㄵ㍥〴晡〹㌶昴㉢挴昹㔱愰㥦㘲挳晣っ〲搰㙢昰㈱搰捦戱愱㕦愱扦愲㈰搰㉦戰㘱㝥〹〱攸戵昸㄰攸㔷搸搰慦搰㔲ㄴ〴晡㌵㌶捣㙦㈰〰㤵挹ぢ㄰昳㕢㍦㤴㤳㤸㐰扦㈳㜴㠵〳㤵戹㠸搰敦晤㔰捥㐹〲晤㠱搰晦㍡㔰㤹㕡〸晤搱て攵ㄴ㈳搰㥦〸㕤㈹搰㄰㘷ち㉡晢㠷ㄴ愷〷㐹づ敡㡤晢㍡㈶〷〹昸ㄷ㘸ㄵ㈷つ愹慡㜵慢挶挱愴ㅥ㍦㌹捤搹挳㌵攷㤴㈱ㄸ攵㌷慦改ぢ㜳㑥㈴㔲昵摢㜷㡥㘷㙤捥ㄹ挵㌵攷㌴㈲㤸㕦㕤㡣戴摥㡢收㥣㕣愴敡攷㌲㜳捥㌲慥㌹愷ㄶ挱慣昴㥢ㅢ㌴攷㠴㈳㔵㍦㤶㤹㜳收㜱捤㌹摤〸收扦㝥㜳㤳收㥣㠴愴敡晢㌲㜳捥㐶慥㌹愷㈰挱慣昰㥢昷愳㌹㈷㈶愹晡戶捣㥣㌳㤴㙢捥㘹㐹㌰摦昸捤ㅢ㘹捥挹㑡慡扥㉡㌳攷慣攵㥡㜳慡ㄲ捣㤷㝥昳搵㘹捥〹㑣慡㍥㉦㌳攷㑣收㥡㜳晡ㄲ捣㘷㝥昳㠱㌴攷愴㈶㔵㥦㤴㤹㜳㜶㜳捤㌹愵〹收㘳扦昹㍡㌴攷㐴㈷㔵ㅦ㤶㤹㜳挶㜳捤㌹捤〹收〳扦昹㈰㥡㜳昲㤳慡昷捡捣㌹ぢ扡收㥣晡〴戳摣㙦扥〱捤㌹㈱㑡搵㍢㘵收㥣ㄹ㕤㜳㑥㠷㠲㜹摢㙦㍥㤴收㥣㈴愵敡捤㌲㜳捥㤶慥㌹愷㐸挱扣攱㌷ㅦ㑥㜳㑥㥣㔲昵㕡㤹㌹㘷㔰搷㥣搳愶㘰㕥昵㥢㙦㐲㜳㑥愶㔲昵㜲㤹㌹㘷㔵搷㥣㔳愹㘰㕥昲㥢㙦㑥㜳㑥戰㔲昵㐲㤹㌹㘷㕡搷㥣搳慢㘰晥攳㌷摦㤲收㥣㜴愵敡戹㌲㜳捥扥慥㌹愷㕣挱㍣敢㌷て搳㥣ㄳ戱㔴㍤㕤㘶捥ㄹ搹㌵攷㌴㉣㤸㝦晢捤㘳㌴攷攴㉣㔵换捡捣㌹㑢扢收㥣㥡〵昳愴摦㍣㐹㜳㑥搸㔲昵㜸㤹㌹㘷㙥搷㥣搳戵㘰晥攵㌷捦搰㥣㤳戸㔴㍤㕡㘶捥搹摣㌵攷ㄴ㉥㤸㐷晣收摢搲㥣ㄳ扢㔴㍤㕣㘶捥ㄹ摥㌵攷戴㉥㤸㠷晣收㘳㘸捥挹㕥慡晥㔱㘶捥㔹摦㌵攷㔴㉦㤸〷晣收攳㘸捥ㄳ㠰㔴摤㔷㘶捥㌳㠱㙢捥改㕦㌰昷晡捤㈷搲㥣㈷〵愹扡扢搴㕣昱㉣挰慢搶〶挵〹摤搹攲摣散㙣㜱㥡㜵戶㌸㘳㍡㕢㥣晣㥣㉤捥㘳捥ㄶ愷㈴㘷㡢戳㡢戳挵㠹挲搹攲㌱敦㙣昱昰㜵戶㜸㈴㍡㕢㍣愸㥣㉤ㅥㅦ捥ㄶ㜷㜵㘷㡢㝢慤戳挵ㅤ搰搹攲扥攴㙣㜱户㜰戶ㄸ㘱㘷㡢挱㜲戶挸扢戳㐵ち㥤㉤戲㈱㕢㝤晦ㅦ捤㈰搲㔷</t>
  </si>
  <si>
    <t>㜸〱捤㝤〷㤸ㄴ㔵搶昶摣㠱㈹愶ㅡ㜰摡㠰㉥㤲ㄱ㑣㈰㜶づ㉡㌲挳㄰㐴㤲㑡㌲㈱㔴㜷㔷挳挸〴㥤ㄹ戲㡡㘲㕣㜳㘲ㄱ㜳搶㌵扢㡡㡡㤸搳慥㜹搵㌵〷㔴搴㜵つ扢扡㙢㔸㐵攵㝦摦㕢昷搶㔴昷㔴て攱晢晥攷昹㥡改㐳摤㜳摥㜳挳㜹慢㙥㔵摤㍡摤㕤㈶捡捡捡㌶攲挵晦昹敡捣㡤摥㔳ㄶ户戴摡つ挳㙡㥢敡敢敤㙣㙢㕤㔳㘳换戰㥡收㘶㙢昱㠴扡㤶搶㑥〰ㄸ戳敡㘰㙦愹㤸搵㔲户挴慥㥣戵挰㙥㙥〱愸愲慣慣戲搲㉣㠷扤愷㝡〷㜵挱愴㤷搹㤹〲愸㌲搳愰攸㐲㔱㐹㘱㔲〴㈸扡㔲㜴愳攸㑥戱つ㐵ㄵ㐵㤰㘲㕢㡡敤㈸戶愷搸㠱愲〷挵㡥ㄴ㍢㔱晣㡥㠲敤㥢㍢㔳昴㠲攸搶ㅢ㘲㙡敤挸挹㤹愳㌱㥡㈹慤㑤捤昶搰晥搳㥤㍥てて㠷㠷㠵㠷㐵㔳搱攸戰搰搰晥戵昳敢㕢攷㌷摢挳ㅢ敤昹慤捤㔶晤搰晥〷捤捦搴搷㘵挷摢㡢愷㌶捤戳ㅢ㠷摢㤹㔰㌴㘳挵㔲攱㔸㍣㥥㑦愷㔳摤晡愰收㐹戵㈳て㙡戶昳㉤晦㕢㜵昶㘵㥤㤳㙢㐷づ㥢㘴户晥㙦搵搹て㜵愲捡㔱㑤つ㔶㕤攳晦㔲愵ㄵ攴㌴㍥捡捥搶㤱㝣摢㙥慥㙢㥣㌳っ摤㉥〸㌴㑡挹㘱㌵㉤㉤昳ㅢ㡥攱㝥㔴㙢搷搷ㅦ㘲攷㈵改つ愳㕡㕡て戲㥡ㅢ㕡扡㌵㌰㝥㜶戳摤㤸戵㕢戶㘹ㄸ扤㈸㙢搷㉢㘰㑢㘵挳㜴慢㜹㤲搵㘰㜷收㐶㔵㠳挳攱戸㥣摤搸㕡搷扡戸㝢挳戴ㄶ晢㄰慢㜱㡥㑤㐸㐵挳搸昹㜵㌹搱戹㌳晥捡㍡敤收搷㌳㐹ㄴ晡搳㔰㍢搷㙡㙥㤵㈵㔲ㄸ昶挳㝡㜶ㄷ㌹㡡㠲㝥㜱㤷敡㕦攴㐵捥愶搴㌵㡣户㥢ㅢ敤㝡㌶㐲㈶㠷ㄴ㠱㘴㠰ㅣㅥ摣㐸改攱㤰㈵搱㔵ㅤ㝣ㅣぢ㕢㌱晡㐳散㌶戵戹づ挳㥣㕦㙦㌵て㥤㔸搷㌸㍣ㄹㅦ㍡愱㙥㥥㕤㕦㘷户戴づて㠷㐲㐳㈷㕡㡢㠶㐷㐲㈱㜳〰挰收㐰扡敤〲昱扢攱〳挷搴㉤戲㜳晤㙢㥢㕡㕡晢敦搵㝦㘰晦㕤晢て慡ㅤㄴ㡥㥡㠳㠸ㅢっ㈱㍡扦㠳挳摦摢㈸て挱昲㔹㔶昹慣㑣昹慣㙣昹慣㕣昹㉣扢㝣㔶扥㝣搶㥣昲㔹㜳换㘷搵㤵捦㍡扡㝣搶㍣㘰昴慢戲㑢㤷㜲昵㝡晥昳攳㔷昴㍦戸捦挸攵㥦㈴てつ捣㙥㥤㈷㜸挴换〹㘳㌷㙣っ㉡ㅡ㐴攱ㄸ攴㄰挲㜱㜳㜷㈰捤㍤㈰㡣㍤㈱㜶ㅡ㍥戰㜶㜱戶摥㥥㕡搷㘰ㄷっ㘰〸㘱㐳㈱㠴㜸つ〳攰㈰敥扣改昴搳㕦ㅣ㝡搰㠴ㄵ攷慣扦晥戴㤳慦㕢㉢㌸搵挸搶㠷㘱㘳捦愲搶㐳挳㐲摥づ㠴㠶㠵㘵て㐲挳㈲㜱㜳㙦㔶ㅥ㠲㌰挲㄰㍢づㅦ㌸ち晢㘷戶戵晦㘰㑦ㄷ㘲㘶㠴愸㈸㠴㄰㉦愸㉥㡣摤攱挷㍤扥㍣昱慤挹㌷㝣㝤㝢户昷晦㜴搲㉥㠲ㄳ㥤散㐲ㅣㅢ㝢㙣㜶ㄷ捣〴敢㑥㐲ㄸ㈹〸摦ㅥ㐴挲㘶㥡愸㝤㈰㠴㜸㕡昵攰㑦敢㍦戹㜲挴捤敢㐷摦㌸㜹摡换㑢摥敡㔷㈹㌸换捡ㅥ散㠷つ㥦㈰㈴㍣㝢ㄲ㘲㤲㔲㔱〸㥢挳㔹昹晥㄰挶〸〸摦㉥㠴ㄳ㘶㌵㔱㌵㄰㐲㍣愲扡㜰捥ㄳ㔷㐴愶㝦晦㐴昵㈹昷㍤㜸昳晥ㄳ摥㍦㑥昰㜰㤷㕤愸挵挶㤰昶㐱㠸ㄴ㜶㈱愶扡㄰㑡㤸愳㔸晢㘸〸㘳っ㠴㝦ㅦ㤲收㔸愲づ㠰㄰攲㝥搵㠷攷ㅥ扥愷慡换晡㍥搵㜷慣㍢晢攵つ㝢慦晣㑣昰ㄴ㈳晢㜰㈰㌶㌶晢㜰ㅡ捦㥡㈷㐰ㄸㄳ㈱㑡ㅤ㑥㈹㜳ㄲ㜱㤳㈱㠴戸㑢昵攰㠲〳㜶て㔴㍤戳㜶搴昲㡡㑥㝦㝣㘰攳㈹晤〵捦㙦戲〷〷㘳㘳慦昶㔱〸ㄷ㐶㈱ㅣ搱㘱挰㐱㜱〸敢㥦〲㘱㑣㠵搸㜶昸挰改㌵㥥㝤㌱ㄲ㌲愷ㄱ㌰ㅤ㐲㠸㍦慡づ搴ㅣ摦敦扢㤷扢搶㡦扥晡戴㜳晥戹㈴㜴搷㔹愲㉢捣戲〳㠷㘲愳摤扥㔸搸㝡㕣㌷㥥㡣㥢㠷戱敥挳㈱㡣㈳㈰㝡昸ㅤつ㐹昳㐸㠲㘶㐲〸㜱慤敡挰昳户㍣㜸㙡㙦昳攷挹㔷㌴慣㕣扥攸捦攵扢〹㥥搷㘵〷㘶㘱㘳昷攲〸ㄴ㜶挰ㅤ㝤摣㥣つ戴㘹㐱ㄸㄹ㠸㜶㠳㡦㤸㔹〲㜲㄰㐲㕣愶摡扥昰㙦㐳㤷ㅤ昳㔹捦搱慢收扤㝡晥攵㑢て捥ち㕥㑥挸戶昳搸ㄸ㔸搴戶㌷昴㑥挳㜱㜳づ㉢㥤ぢ㘱搴㐱㘰搷昳㤹㠷ㄲ收搱㐴捤㠳㄰攲㘲搵㜴攰昰收攸㤹㙢ㄷ搴㕥㔱㌹攵捤〷晦戲㝣愵攰㐵㡣㙣扡〱ㅢ㍥㐷㘰攱㌴攴㌹〲ㅢ㔹㜹ㄳ㠴㜱っ㐴戰㠸昵戴㜹㉣敤捤㄰㐲㥣愳ㅡ㝦㙢昸愳摦㈷戶㤹㌳㙥搵昷慦㥦摤敦挰㕤收ち㕥㍣挹挶㕢戱㌱戴㘸摣㌸摥扤㐳㘷搱㈵㍥㘲捥㘷昵ぢ㈰㡣㠵㄰挵㜱挷㐹㘴ㄱ〱㡢㈱㠴㌸㑤戵㍦昶㡤户ㄳㅢ㑦戸㙢摣㐳㈷㕥戲㍡戵捤㐵㌵㠲搷㙤戲晤愵搸搸慣攳㉥ㅣて㤹挷戱收攳㈱㡣ㄳ㈰㑡ㅤ㜷ㄱ㜳ㄹ㜱㈷㐲〸戱㑣昵㈰㜸攷〵㉢㙦㍣㝣㡦㔱ㄷっ慢㜸晦愵㤱㕤㐷ぢ㕥㌴捡ㅥ㉣挷㠶捦散㔳㜰㉥㙤㍢つ攰愸㍢ㄹづ收㈹㄰挶愹㄰扥㍢㝥捡㍣㡤愰搳㈱㠴㔸愴扡㜰晢摦捦扦㈱戸愰㘲散ㅦ㕦摤昹㡡晦㙥搸攷㙥挱㑢㔶搹㠵摦㘳挳敦搰㉦摡〵摣㥤ㅦ攷愲㌳㔹晦㔹㄰挶搹㄰敤㔸㠸㥢攷㄰㜰㉥㠴㄰挷慡づ扣戳㕤晣扥挶㐹搵㘳搷ㅥ搴㍡㜳攳戳㘷㔹㠲㤷换戲〳攷㘳㘳㜳昶晥ぢ㔸改㠵㄰挶㐵㄰㈵捥挲㌱昳㘲挲㔶㐰〸㜱戴㙡㝢攸㍤扢捣晤昶捥㐵㌵昷捤戹㘴㘶晤㜷㈳㝡〹㕥愵换戶㔷㘲愳愳戶愳㜲捥㠹㥢㤷戰搲㔵㄰挶愵㄰晥㐷㕥捡扣㡣愸换㈱㠴挸慡愶㌳㝤慦慢㜸攱慢㍢㐷㕥㜴捣㐹换敤㤶㉢てㄳ㍤㘰㤶㑤㕦㠹㡤捤摥昹慥㘲捤㔷㐳ㄸ搷㐰㘰散㝥搷㔰㘹昳㕡挲慥㠳㄰攲㐸搵㠱摥㜷扣昷换㤱〷ㅢㄳ慦敦ㅢㅡ㍦晣搷摡昵㠲昷㈵戲〳㌷㘰挳㠷昸愲㑢㄰ㅣ㡤扣㤰攳㜱ㄸ㌱㙦㘴晤㌷㐱ㄸ㌷㐳戴㈳㍥㘱晥㤱㠰㕢㈰㠴㤸愶㍡㜰攷〷捦扦昶摢㡣攵愳㔷㙦ㄷ㔸㔱扢戰晣ㅢ挱㝢㈲搹㠱摢戰搱㔱昰昵戴㜷㍢㉢扤〳挲戸ㄳ挲㍦昸㐹昳㉥愲敥㠶㄰㘲㤲㙡㝡攵㤴㥦㑦晢收戴㜳㙡搶扥昶搲㝥攵昷敦㜲㤳昸ㅤ捣戲改㝢戰戱搹挱扦㤷㌵慦㠶㌰敥㠳㈸ㄱ晣㤴㜹㍦㘱て㐰〸㌱㔶㜵攰㡣㜳ㅦ㌸晦攴昰㠲㔱攷捥〹㕤晢捤㍡㌳㈰㝡挲㉣㍢昰㈰㌶㌶扢〳㙢㔹昳㐳㄰挶挳㄰愵愶㥥戴昹〸㜱㡦㐲〸㔱慤㝡㜰挸捦捦㕣㝡昱㈱晤づ㕣昳㑤㜴晡搲㍥㠳㍢㠹㥤㘱㤶㍤㜸ㅣㅢ敤捥戸㈵㉦㐰捤㈷㔸昷㤳㄰挶㔳㄰晥㤷㍤ㄱ昳㘹愲㥥㠱㄰㈲慤㝡昰收㙥换ㄷㅥ㌷搵㥡㜸换㥡晡戹摦㥤㌶攸㈷搱ぢ㘶搹㠳扦㘰㘳换愶晦㘷㔹晤㜳㄰挶昳㄰敤昶扦㠸昹〲〱㉦㐲〸ㄱ㔱敤敦㌵㘶攰㤸㡡捦攳愳㔷㉥ㄹ戲晤〹㍦昴捣㜴㝢ㄹ收㠳搵ㅤ捤愸㘶㙢㈱敥ㄱ摢㙥㍦㈳挳戰愷㙦捥㝤㌷㙥扢昳昱㝣㌲ㅦづ攷攲㈱㉢㙡㔵っ㐰戵㥢㝢㠳挷㌳㔰户晣㡣扡挶㕣搳㐲㜹挷搷㝢愴搵㘲户摤〰づ㔱戶㤱㑤昳ㅢ㜳㉤扤晣㡤㔳㕡慤㔶㝢攷㘲㕢㕢㈵敤摣愶攰㝥搸㙥㤱敤昵㉤㜶㥢㙥搵捦户㙢ㄶ搵㌹收㍥㐵㘶摣つ㌷㘵㑡㕢挷㌴摢挷扡搶㜶㍤慡挱㜲捤〲㔹㜷扢㔱㍡㈶愷㕦晤㙢攷㌶戵搸㡤戲㝢㐳ㅡづ慡换捥戳㥢愷搸㕣散戱㜳㜲愸㍤㘸㔲户攴㐳㈶㌷㘲愰戸挹捥つ昴㙡昳愳ㄷ戵摡㡤㌹㍢㠷晥ㅥ㘳㌷户㉥㥥㙡㘵敡敤ㅤぢ㈰㑥㥢㌰昴㉣㔰㡦㘹捡捥㙦愹㙤㙡㙣㙤㙥慡㉦戴搴攴ㄶ㔸㔸〶挸㑤㙣捡搹戸㡢敦捣㔷㤹㈸敢搴㐹㠸戲㍤晤㙥愵㔹㙦换㌰㐹㠴㠷攲㍥攰晣㜷㠵扢摤戰㐳㌰㍡㡣愲摥收㍥㔹㍥㘸ㄳ㤵挹㝡㔹捤ㅥ愵㠱㥥㌱㜱㘵㡣攸摤㑢愳㘵ㅦ㕤收晥晦㠲换换户㔷愳ㅦ扤〰㑢㈵〷㔸㡤戹㝡扢戹挳㜵㍤挱ㅥ㤹㝦㠵愸搸ㅢ㐷㜳挹攸㜵〶㐲㉣ㄲ㡢㉢ㄶ搶攵㕡攷ㅡ㜳敤扡㌹㜳㜹㙤㠹戵扦捡㑡㠶戶摤换㝣ㄵ㉡昳㌵㡡扦㐱〴〲㘵挶敢〴ㄹ〱昳つ愷㕣㌱㄰晦㙦昹㈲㑣㌹扣㑣戹攸㠳ㄵ扡㤶㡡㠶㌱㑤捤㉤㥤㍡昹㡤昲〰慢㘵㙥㉢㜷捦㡥㡤慣敦㑤㡡户㈰㉡〶㐱㙣㜲㡤愷ち愰捥㕣捡敡摥㠰㐵〲ぢぢ㠸昲攸ㄶ㔶㐵㠳戳㈶㌵捡㙥挹㥡㕣扣ㅡ㠷㘳㘵㤱㠱㉤ㅣ晣摤ㅡ戸昷摢㡢㕡㐷㔹慤㔶㤷〶㉣㠳㠱㈵ㄳ愰㈱搲换搹愲㘷㜷愹搳摥〱㔵㐲つ㐱戹改愹愵慢㔴㌸㌵攱挰挱昱㔲搶㐹挹㡥〷㠱扥昷挵㈰㡣攲ㅤ扤㜰㌹ぢ慢㙣戹戱㜶攳搴挵挷搸㉤㠴㔷ㅡㅤ㠶戲昸昰㘲㘵㤳戳㤹㘹慤㜵昵㉤挳搰搳戱捤㑤昳㡦昹摦慣㠷㜵㤹㙦㐳攸㔷挵慥搸㡢㌷㝦㑣〸㔷㔹㤷〵攴㘶搶慣戲㑡搶㐶㡤戹ぢ〵昷㔶㔴戶ㄱ晦挹㤷昹㍥晥ぢ㜴㘴慢ㄸっ挴㤶㉣晤㔵〰摦慤〱ㄱ㥡摡㙣换挵捣㑡㔹㐰戴扢㌷捣㘸㙡㥥㤷㘹㙡㥡挷晤㘹ㅢ㔹㙡㤹㙢摢慤㕣㈰散慡ㄶ㐴攵挲愷㄰㥤㍡ㄵ㉣攴㜹㔶ㄲ晢愱㝥攳㈳㠸敥㌵昵昵晤㜵㡤㉤挶挷㔰㜵挲㔲愵戱ㅥㅢ摢捡㝤戳晦㤴搶㘶摢㙡ㄸ戶愸扥愵㐱昴挶戰戹戶昶搹戳晦㥡晥敢愸㈷挷慣ㄹ㌳㜸挸愱㡦挶敡㐴㉦㘵㘸户攴户㍢㉡ㅡ㠰户昹ㄹ㠴攸〹ㄸ愷ㄳ㙣ㄷ扥捣捦㔱㌶晦㐱昱〵〴㈶〵ㄹ㘶捣〹㕦㌹㐵戱〷晥攷扣㘰㝥㑤昱㑦〸㌱〴㠲㐷愵昹㉦〸晤ㄲ㐱搴㑦戲㈵㘱㝢㐲摤㥥戰晦㐰ㅢ㌰㍢戰㠹愱㐰㤰㌴㤳㐱㌲ㄹㄶ㤳㈱ㄱ〶㉡昶つ㐰㠵㌲戴㕢㜵摣ㅢ㙥㌲〰扦搰扦ㄳ㘰晥〱昸㡤㙤㌰㌰㈶㜷㌵㑦〰捡㥤愲〸挱㈶〳搰〹ち㤳㑦㘶㐴〴㉡ㄹ㠰ち㤴昴㑢晣晣㥢㈷〰㘱愸摢〷挰㘴㥤㘶〷㌶ㄱ㠵㥦㕦〰扥㐱攵扥〱昸㤷㌲戴㕢昳㑣愰愶〱散挵㜶散昲搷㠰昹〷㘰〷㤸捤ㅥㄴ㍢㐲㜸〲昰㍢愷㈸㤲愸㐴〶愰㈷㐱㍢㐳㠸㌴㔴㌲〰扤㔰搲㉦昱㠹㌷〰㈹愸摢〷愰ㅦ敢㌴㍢戰㠹㝤攰攷ㄷ㠰㜷㑡〵攰㙤㘵㘸户攴㍡ㅣ㌵つ㘰㉦㜶㘷㤷摦㉣ㄹ㠰㍤㘱㌶㠷㔰っ㠵昰〴㘰㤸㔳ㄴ晢愳ㄲㄹ㠰扤〹ち㐱㠸㙡愸㘴〰挲㈸改㤷㜸挹ㅢ㠰ㄱ㔰户て㐰㥣㜵㥡ㅤ搸㐴つ晣晣〲昰㔴愹〰㍣愹っ敤ㄶ㝣㐷愱愶〱散挵晥㘸㔴㍣㕥㌲〰搵㌰㥢㌵ㄴ㈳㈱㍣〱ㄸ攵ㄴ挵㘸㔴㈲〳㌰㥡愰㌱㄰㠲㡢扤㌲〰㘳㔱搲㉦昱㠰㌷〰㘳愰㙥ㅦ㠰昱慣搳散挰㈶づ㠰㥦㕦〰敥㈸ㄵ㠰摢㤵愱摤㙡昳㜸搴㌴㠰扤㤸捡㉥摦㕡㌲〰搳㘱㌶㘷㔰ㅣち攱〹挰攱㑥㔱㑣㐰㈵㌲〰㐷㄰㜴㈴㠴㤸〴㤵っ挰㑣㤴昴㑢㕣敢つ挰㐴愸摢〷挰㘲㥤㘶〷㌶㌱ㄹ㝥㝥〱戸愴㔴〰㔶㉡㐳扢挵敥㐳㔰搳〰昶攲㘸㜶㜹㐵挹〰搴挳㙣㌶㔰㌴㐲㜸〲㜰㡣㔳ㄴ㔳㔰㠹っ挰戱〴㌵㐳㠸㘹㔰挹〰戴愰愴㕦攲㙣㙦〰愶㐲摤㍥〰ぢ㔹愷搹㠱㑤㑣㠷㥦㕦〰㤶㤷ち挰㐹捡搰㙥戱晤㌰搴㌴㠰扤㌸㤱㕤㕥㔶㌲〰换㘱㌶㑦愶㌸〵挲ㄳ㠰搳㥣愲㌸ㅣ㤵挸〰㥣㑥搰ㄹ㄰攲㐸愸㘴〰㝥㡦㤲㝥㠹〵摥〰ㅣ〱㜵晢〰㥣挳㍡捤づ㙣㘲㈶晣晣〲㔰㕦㉡〰昳㤴愱摤㘲晦㙣搴㌴㠰扤昸〳扢㕣㔷㌲〰㤷挰㙣慥愲戸ㄴ挲ㄳ㠰换㥤愲戰㔰㠹っ挰ㄵ〴㕤〹㈱戲㔰挹〰㕣㠵㤲㝥㠹搹摥〰㘴愰㙥ㅦ㠰敢㠰て㤸ㅤ搸㐴づ㝥㝥〱㤸㕥㉡〰搳㤴愱摤ㄳ〷㍥㐰ㄸ挰㕥摣挶㉥㑦㈹ㄹ㠰㍢㘰㌶敦愴戸ぢ挲ㄳ㠰㍦㌹㐵㌱ㄷ㤵挸〰摣㐳搰扤㄰攲㘸愸㘴〰㔶愳愴㕦攲㐰㙦〰敡愰㙥ㅦ㠰㌵慣搳散挰㈶收挱捦㉦〰搵愵〲㌰㐲ㄹ摡㍤昷㘸㐴㑤〳搸㡢㈷搸攵攱㈵〳昰ㄴ捣收搳ㄴ捦㐰㜸〲昰ㄷ愷㈸㥡㔰㠹っ挰戳〴㍤〷㈱㡥㠵㑡〶攰㜹㤴昴㑢挴扣〱㌸〶敡昶〱㜸㤹㜵㥡ㅤ搸㐴㌳晣晣〲戰㘷愹〰散愱っ㙦ㄵ㍦㝢㤹㡦㥡〶戰ㄷ㙦戱换扢〱收㝦㈱昴づ捣收扢ㄴ敦㐱㜸〲昰㠱㔳ㄴぢ㔰㠹っ挰㍡㠲㍥㠴㄰㡢愰㤲〱昸〸㈵晤ㄲ㝤搱㠶㝢㈹扣㄰敡昶〱昸㤴㜵㥡ㅤ搸挴㘲昸昹〵㘰〷㌵捥㜶昷〲摢㉢㐳扢㠷㍦挷愱愶〱散挵㍦搹攵㙤㑢〶攰ㅢ㤸捤㙦㈹晥つ攱〹挰㜷㑥㔱ㅣ㡦㑡㘴〰扥㈷攸〷〸戱っ㉡ㄹ㠰ㅦ㔱搲㉦㔱改つ挰〹㔰户て挰〶搶㘹㜶㘰ㄳ㈷挲捦㉦〰扦晤㕡攲㔲昸㔷㘵㘸昷散改㘴搴㌴㠰扤攸㕣㡥㉥㙦〰捣㝦て㌰㘰㌶扢㔰㔴㐲㜸〲㄰㜰㡡攲ㄴ㔴㌲㤰ㄵ㜵㈵愸ㅢ㠴㌸つ㐵ㄹ㠰敥㈸改㤷昸㌷摡㜰昷㠰㔳愱㙥ㅦ㠰㙤㠱て㤸ㅤ搸〴ㅦ㘷昹〵攰昳㔲〱昸扢㌲戴㝢昲㜵㈶㙡㤲〱搸㤹㕤晥戴㘴〰㝡挳㙣昶愱攸换摥戵摤つ昶㜷㡡攲㉣㔴㌴㤰挳ㄹ㐰搰㐰〸㜱づ㡡㌲〰扢愰愴㕦攲㍤㙦〰捥㠶扡㝤〰㜶〳㍥㘰㜶㘰ㄳ攷挲捦㉦〰慦㤶ち挰㉢捡搰敥挹摢〵愸㐹〶㈰挴㉥扦㕣㌲〰ㄱ㤸捤㈸㐵㡣扤㙢ぢ㐰挲㈹㡡ぢ㔱搱㐰づ㈷㐹㔰ち㐲㕣㡣愲っ㐰ㅡ㈵晤ㄲ捦㜸〳㜰ㄱ搴敤〳㌰ㅣ昸㠰搹㠱㑤慣㠰㥦㕦〰ㅥ㉡ㄵ㠰戵捡搰敥昱摦㈵愸㐹〶㘰っ扢扣愶㘴〰づ㠰搹ㅣ㐷㜱㈰㝢搷ㄶ㠰〹㑥㔱慣㐲㐵〳㌹㥣㠹〴㑤㠲㄰㤷愱㈸〳㌰ㄹ㈵晤ㄲ㜷㜹〳㜰㈹搴敤〳㌰〵昸㠰搹㠱㑤㕣づ㍦扦〰摣㔸㉡〰㌷㈸㐳扢㠷㤰㔷愱㈶ㄹ㠰㈳搹攵敢㑡〶攰㈸㤸捤㔹ㄴ戳搹扢戶〰㘴㥣愲戸ㅡㄵつ挴摢捣ㄲ㤴㠳㄰搷愲㈸〳㘰愳愴㕦攲㔲㙦〰慥㠱扡㝤〰敡㠰て㤸ㅤ搸挴㜵昰昳ぢ挰昹愵〲㜰㥥㌲戴㝢〸㝡㈳㙡㤲〱㘸㘶㤷捦㈹ㄹ㠰㔶㤸捤昹ㄴぢ搸扢戶〰㉣㜲㡡㠲て㐳〷㜲㌸㡢〹㕡〲㈱晥㠸愲っ挰㔲㤴昴㑢㥣攲つ挰捤㔰户て挰㌲攰〳㘶〷㌶㜱ぢ晣晣〲戰愴㔴〰ㄶ㉢㐳扢㠷戰户愳㈶ㄹ㠰㌳搸攵㠵㈵〳㜰㈶捣收㔹ㄴ㘷戳㜷㙤〱㌸搷㈹㡡㍢㔰搱㐰づ攷㍣㠲捥㠷㄰㜷愱㈸〳㜰〱㑡晡㈵ㅡ扤〱戸ㄳ敡昶〱㔸〱㝣挰散挰㈶敥㠶㥦㕦〰㜲愵〲㤰㔵㠶㜶㡦㠲敦㐵㑤㌲〰㔷戲换㔶挹〰㕣つ戳㜹つ挵戵散㕤㕢〰慥㜷㡡㘲㌵㉡ㅡ挸攱摣㐰搰㡤㄰攲㝥ㄴ㘵〰㙥㐲㐹扦挴愱摥〰摣〷㜵晢〰摣ち㝣挰散挰㈶ㅥ㠰㥦㕦〰㈶㤵ち挰㐴㘵㘸昷㈸㝡㉤㙡㤲〱戸㤷㕤ㅥ㕦㌲〰昷挱㙣摥㑦昱〰㝢搷ㄶ㠰〷㥤愲㜸〸ㄵつ攴㜰搶ㄲ昴㄰㠴㜸〴㐵ㄹ㠰㠷㔱搲㉦㌱搲ㅢ㠰㠷愱㙥ㅦ㠰挷㠱て㤸ㅤ搸挴愳昰昳ぢ㐰慡㔴〰㤲捡搰敥㐹昸ㄳ愸㐹〶攰㌹㜶㌹㕥㌲〰㉦挰㙣扥㐸昱ㄲ㠴㈷〰㝦㜵㡡攲㐹㔴㌴㤰挳㜹㠵愰㔷㈱挴搳㈸捡〰扣㠶㤲㝥㠹愱摥〰㍣〵㜵晢〰扣〹㝣挰散挰㈶㥥㠱㥦㕦〰〶㤶ち挰〰㘵㘸昷㈰晥㔹搴㈴〳昰㈱扢摣慦㘴〰㍥㠶搹㕣㑦昱〹㝢搷戶〷㝣收ㄴ挵㜳愸㘸㈰㠷昳㜷㠲㍥㠷㄰㉦愰㈸〳昰て㤴昴㑢散攸つ挰昳㔰户て挰搷挰〷捣づ㙣攲㐵昸昹〵愰㕢愹〰㜴㔵㠶攲㑣㠰㡡扦愲愶㉤㜸㠲摢㤵ㅤ捥㑦慦戳ㄷ昲㤱搳㌶㜹㈴㝡搷捥㙦㘹㙤㤲捦挷扡攷㐷㌵㑤㙡㙡ㅤ㔵搷㜲㑣扤戵㜸晢扣摡㤸㌱搷㙥挴搳敢㘶㍣挴㉥搲㌵ㅤ㜳㡣㥤㌳昳㔳㥡收㌷㘷敤㜱愳晥㉦㍣摤挶昸㐰㥤㝣戰㕤㉥昰摡扡〷戶㘵昰挴㕥㠲㔷㔹挵慢愸戰昸戹㥢㑣㌷昷㍣㈳㤷㥢㐱〰慢摡㈲㍡戵慥戵摥敥㥡㤷捦愷攵㜶㘵ㅥ㔱㐴㑡㐰慥㑢㝥敡㕣㍣㡦ㅡ搵㍤㍦戶戹㉥㔷㕦搷㘸㤳㡣ㅤㅣ攸〴㝢づㅥ晦ㅦ搴搴㔲挷捣晥敥昹愹捤㔶㘳换㌱㝣㤲㤹㕤扣㕤㐱㐹㍥㔶慡挸㡦慣㙢㙣㐱㌳㤲㐵㙥㔷攵愷捣㙤㕡㠸て㤹捣㙦㘸ㅣ㙢ㅤ搳昲㝦㠲ㄵ㐱㕡攴㑢㔲㈳捡㐵㜹戹愸㉣慦摣㕡㝥㡣ㅦ㜰㡣敤搴㤶㜷搹ㅦ晢㙡㙢㜳㕤㘶㍥㠳㈶摢㠹㐰㜶愶㤰㍣㤶㔵扣㠶慤攲攷㤶ㅥㅡ㡢㤲づ搸摦㠲て㔰昸㍥晦㜶㍦扤搳〷㜰昳㐷㜴愹摢㝦㈱づㅣ㍢㙤㕣㕢㍡捥晦攸愳㌰ㄵ㝦㐳捤㥢㥤晤搰〳攰㙤㥣摤㠸ㄹㄱ摣慢㜰㜴㘲㙦㘰愹㜸搷っ攴㈵㠶㝢改㌶㙤㥢㘳昰〰扤㕢㝥㠲㤵戱敢昱摣扦挱㙡摤挶㈹㌰〱愳挱慡㙦㔱戶摡愶㠶〶㡢扢ㅤ㍦昰㌱㈵㙢搵摢㤵昹㥡昹慤㑤昸ㄴ㠵㤹㠷㤰晢愶㔲㔹㡢愰戲ㄶ㐹㔵户晣㈱捣〷㤲摢慣慢㘹㡥搵㕣搷㍡户愱㉥㕢挹〲㜳㜶晥㑦散慦㤸㐳㍡㈳㤸晡愵攷㤳攲㐷晥捥㠳㜷搰㍤っ㔹㌲っㅤ改挷㕥㕤㉥っ晣ㄳ㕢㤹㉥㠲搹㐷㥥㔴捣㥦㔱㕢〵摥㜲㍡㤲㝤昹㐶㍥㡥挵收㌷换戰㡢捡〹㑡扣㐱〰摥收〶㐰戹挱㜷攷㌷㈱㍡捣㈵攸〲㐰㘰㐲㤳㤵ㅢ㘳㘵昱攱慤㉥敡愳㕢㤵愰㤶搳㑤㜳㤰搹ㅤ戵㐸ㄸ㐲㈲搲㠲扡㥣摤㕣㐹挵ㄴ㝣㌴慤㌳昳㐲っ㠷㐳㍣攷敥㔴㔶㔱搱戵搲慦慤㜱扡慥㐱敡㤹戹昷愳㙦攳摡搵晦搵挱愹ㄱ搵散㔵㐰㥥愶㝥挱㜰捣㕦㌹愶户愰攴㜸㡡〰扦ㄱ戰ㄱ愲攲㙤ㄸ㡢戹㈹㑣戴㐰㍡㠶〹㔰㘷昹愱㈷愶㠰㔴㈲㕤㐲收㡥㔴挸㠱㜴昵攴㝣ㄸ㑥扡㐷愵晥㈴㤵㌱〵㝢戹㥤ぢ㌸㜳㉣㜳㑢㜰㜶㈸㉢㉦敦っ慡㡤攲㝣戹㜶捤愲戲㠶㈹戶㑣〶ㄱ㝤搱〵㠳㤹㠳〳㜹戰愰晥㔹挵㘹戰敥㘷㠹〶戶扢慥〸〴捣㜲戸㤶〵挴晢㤰㍡ㅥ㍣收㔵挰挰〴㤶挴㈰挴㘷㔰昲捡挰㜳ㅥㄳ㥦愳挸㜳㔹㤹挱㡦㤸㙤挹摣㈹晥〱㉦捥㥦愶挱捡扦挰ㄶ愷㈵㜷㌷慤㠴㜶搳扢改㔷昴挰摢攴愷ㄶ昵㙥㉡扥㠶㐶て愵ㅡ摢㙡㈸〱㘰捣慥〴晥搳ㅦ搰㡤㠰敥〴晣ぢ〰昲㙦㙣㠳搲㠰戶戸ㄶ㝣戰愰攳戰〶攱㠹戰晥挷搳㤴㈷慣摢戲愹敤搸搴㉦〰ㄴ㠷昵㌷攸㥣戰㙥て挸ㄶ㠵㜵㈳㕣㘵㔸㜷㘰攵㡣㐹㐱㔸㜷㠴㜶搳㘱㉤㠷㥢っ敢㑥戲ㄲ愷㈰㤸摢攰ㄳ搶摦〱㘳昶㈴㤰㜹て㍥㠰㥤〹攸㐵〰㔳㈱㘴㔸㝢愳搴扦㉤慣摥捦㙣改愸挶㝣㜷搶扥㜰㐴㔴㤹㈳愱㕢昲㐴戵ㅦ㕢敡捦㤶㤸捦㔰ㅣ㔵㈶㌱㌸㔱ㅤ〰挸ㄶ㐵㤵愹て㌲慡〳㔹㌹㜳㈰ち愲㍡〸摡㑤㐷㤵戹ㄲ昸挳㠷昹㔸〹㌶攴㥢〹ㄳ㝡㈸搵ㅣ㥣㌳㔱敤ち㡣戹ㅢ㠱㑣愶昰〱散㑥挰ㅥ〴㌰扦㐲㐶㜵㑦㤴㍡㡥㙡㈴散ㅢ搵愱㜰㐴㔴晢㜹㕡昲㐴㜵㉦戶㌴㡣㉤㌱㐹愲㌸慡捣㡣㜰愲扡㌷㈰㕢ㄴ㔵收㔳挸愸㠶㔸㌹ㄳ㉢ち愲ㅡ㠱㜶搳㔱㘵〲〶晥戰㈲换㑡戰㈱摦捣挲昰〹㕡っㄸ㌳㑥㈰㌳㌴㝣〰〹〲㤲〴㌰㘹㐳㐶㌵㠵㔲挷㔱つ㈷㝣愳扡てㅣㄱ㔵㘶㜳攸㤶㍣㔱摤㤷㉤敤挷㤶㤸㜹㔱ㅣ搵㙡攸㥣愸づ〷㘴㡢愲㕡〳㔷ㄹ搵晤㔹昹㐸㤴ち愲㕡つ敤愶愳捡慣づ晣㈱攵㠳㤵攸愸㌲戵㐳て愵㥡㠳㜳昶搵㤱挰㤸戵〴㌲敤挳〷㌰㡡㠰搱〴㌰ㄳ㐴㐶㜵っ㑡㥢㠸㙡搲㌷慡〷挰ㄱ㔱㘵㡡㠸㙥挹ㄳ搵㜱㙣改㐰戶挴㜴㡥攲愸㌲㠷挳㠹敡㜸㐰戶㈸慡捣晣㤰㔱㥤挰捡㤹〲㔲㄰搵㐹搰㙥㍡慡㑣ㄵ挱ㅦ㍥㝦挸㑡戰㈱摦捣ㄷ搱㐳愹收攰㥣愸ㅥ〴㡣㜹㌰㠱捣㈵昱〱ㅣ㐲挰ㄴ〲㤸㕥㈲愳㍡ㄵ愵㑤㕥〶愴㝣攳㍡ㅤ慥㠸慢攵㘹换ㄳ搷ㄹ㙣敢㔰戶挵㉣㤱攲戸㌲㌵挴㠹敢㘱㠰㙣㔱㕣㤹㔰㈲攳㝡㌸㉢㘷㘶㐹㐱㕣㡦㠴㜶搳㜱㘵〶ち晥昰愹㐶㔶㠲つ昹㘶ㅡ㡡㑦搸㡥〲挶㥣㐵㈰㔳㔴㝣〰戳〹戰〸㘰搶㡡㡣㙢〶愵㕥㙤攷㉢昵㤱㑥㜵慡㡡㠴㝣〳㥡㠳て〲捡㑣ㄶ摤㠸㈷愰㌶ㅢ挹戳㤱ㄳ〱㈸づ攸㜲攸㥣㠰捥〱㘴㡢〲捡〴ㄵㄹ搰戹慣㥣㤹㉡〵〱㍤ㅡ摡㑤〷㤴ㄹ㉤昸挳攷㈵㔹㠹づ㈸搳㕡昴㔰慡㌹㌸㘷㐷慤〷挶㙣㈰㤰㈹㉦㍥㠰㐶〲㥡〸㘰ㄶ㡣っ攸㌱㈸昵㙢ぢ愸捦〵㠰晦搱摦っ㍦〴㤵搹㌱扡㈱㑦㔰㕢搸㄰扦昶㐲㌰㤳愵㌸愸㑣㕦㜱㠲㍡ㅦ㤰㉤ち㉡㤳㕥㘴㔰ㄷ戰㜲㘶扦ㄴ〴㜵ㄱ戴㥢づ㉡戳㘴昰㠷㘷㈲慣〴ㅢ昲捤㔴ㄹ㍤㤴㙡づ捥〹敡ㄲ㘰捣愵〴㌲㡤挶〷㜰ㅣ〱挷ㄳ㜰ㄵ〰㌲愸㈷愰㔴㝡㉦㡤昸敥愵㈷挲〷〱㘵戶㡤㙥挴ㄳ搰㤳搸挸㜲㌶挲捣㤸攲㠰㌲ㅤ挶〹攸挹㠰㙣㔱㐰㤹㐴㈳〳㝡ち㉢㘷㌶㑤㐱㐰㑦㠳㜶搳〱㘵搶つ晥昰㤹㑥㔶㠲つ昹㘶敡㡤ㅥ㑡㌵〷攷〴昴っ㘰捣摦ㄳ挸戴ㅣㅦ挰㤹〴㥣㐵〰㌳㜵㘴㐰捦㐶挹㜳㤲昲扢晡昷㍦昵㥦ぢ㐷㐴㤵㈹㍣扡㈵㑦㔴捦㘳㑢攷戳㈵愶摢ㄴ㐷㤵㌹㌶㑥㔴㉦〰㘴㡢愲捡捣ㅣㄹ搵ぢ㔹㌹㔳㜴ち愲㝡㌱戴㥢㡥㉡㔳㜹昰㠷て㡢戲ㄲ㙣挸㌷昳㜹昴㔰慡㌹㌸㈷慡㝦〰挶㕣㐹㈰㜳㝤㝣〰㤷㄰戰㡡〰愶晦挸愸㕥㡡搲捥㙤挷㝥攱㘴㥡昶摤㑢㉦㠷ぢ攲挹㡣㈰摤㠶㈷㥥㔷戰㡤㉢搹〶戳㜷㡡攳挹㤴ㅤ㈷㥥㔷〱戲㐵昱㘴愲㡦㡣攷搵慣㥣ㄹ㍦〵昱扣ㄶ摡㑤挷㤳㤹㐱昸挳〷㔰㔹〹㌶攴㝢ㅤ愴ㅥ㑡㌵〷攷挴昳㝡㘰捣ㅢ〸晣搰ㅦ㜰㈳〱㌷ㄱ昰ㄱ〰㌲㥥㌷愳㔴昲戰て㐷㝤〳㝡ぢ㝣㄰㔰㘶ㄸ改㕥㜸〲㝡㉢ㅢ戹㡤㡤㌰ㅢ愸㌸愰㑣〱㜲〲㝡㍢㈰㕢ㄴ㔰㈶づ挹㠰摥挱捡㤹㐱㔴㄰搰扢愰摤㜴㐰㤹㘹㠴㍦㝣慡㤵㤵㘰㐳扥㤹㙥愴㠷㔲捤挱㌹〱晤ㄳ㌰收㍤〴㌲ㄵ挹〷㜰㉦〱慢〹㘰㜶㤲っ攸㝤㈸㙤昲㉡捡㝦㍡㝤〰慥㠸㉢ㄳ㤷㜴㕢㥥戸慥㘱㕢て戲慤捥㔸㘱㉡㡥㉢㌳㡢㥣戸慥〵㘴㡢攲捡㝣㈴ㄹ搷㠷㔸㌹ㄳ㤳ち攲晡〸戴㥢㡥㉢ㄳ㤸搰㙦㝣㔴㤶㤵㘰㐳扥㤹挵愴㠷㔲捤挱㌹㜱㝤っㄸ昳㜱〲㤹攱攴〳㜸㠲㠰㈷〹㘰搲㤳㡣敢㔳㈸㜵㝣搲昷扦㌴㝤〶㝥〸㉡㤳愱㜴㐳㥥愰晥㤹つ晤㠵つ㌱㜱愹㌸愸捣㔶㜲㠲晡㉣㈰㕢ㄴ㔴收㌸挹愰㍥挷捡㤹散㔴㄰搴ㄷ愰摤㜴㔰㤹ㄴ㈵㠳晡㈲㉢搱㐱ㅤ〰慤ㅥ㡡㈷愸㉦〱㘳扥㑣㈰戳愶㝣〰㝦㈵攰ㄵ〲㤸㐸㈵㠳晡㉡㑡愵㡦晥戸敦搱晦㌷昸㈰愰㑣慥搲㡤㜸〲晡㍡ㅢ㜹㠳㡤㌰ㄱ慡㌸愰捣㝥㜲〲晡㈶㈰㕢ㄴ㔰收㑣挹㠰扥挵捡㤹㍣㔵㄰搰㜷愰摤㜴㐰㤹㘴㈵〳晡㉥㉢搱〱㘵愶㤵ㅥ㡡㈷愰敦〱㘳扥㑦㘰捡ㅦ昰〱〱敢〸㘰㘲㤶っ攸㠷㈸㙤㙡挹捦㝦㜱敡㘳㜸㈲慣㑣搹搲㝤昱㠴㜵㍤㥢晡㠴㑤㌱扤慡㌸慣捣愹㜲挲晡㈹㈰㕢ㄴ㔶㘶㘲挹戰㝥挶捡㤹㤲㔵㄰搶捦愱摤㜴㔸㤹扡㈵挳晡て㔶愲挳捡晣㉤㍤ㄴ㑦㔸扦〰挶晣㤲㐰收㜶昹〰扥㈲攰㙢〲㤸敥㈵挳晡㑦㤴㌶㜱㉤攵㝦昴㝦〳㐷㐴㤵㜹㘰扡㈵㑦㔴扦㘵㑢晦㘶㑢捣搹㉡㡥㉡ㄳ戵㥣愸晥〷㤰㉤㡡㉡搳扢㘴㔴扦㘳攵戳㔱㉡㠸敡て搰㙥㍡慡捣〷㤳㔱晤㤱㤵攸愸㌲㈹㑣て挵ㄳ搵晦〲㘳晥㐴㘰捥ㅦ昰㌳〱ㅢ〸戰〱㤰㔱晤〵㈵捦捥㕡昸昵ㄷ敡晥搴晦㤲敡㌷㜸㈲慣捣㉥搳㝤昱㠴㜵㈳㥢㉡挳攳㉡挱㑣戰攲戰㌲晤换〹㉢㥦㘸㙤㔱㔸㤹㌴㈶挳㡡㈷ㅤ㘵㠲搹㘳〵㘱挵㐷挸㌷㈳慣㡢攰㈶挳㕡挱㑡㜴㔸㤹㙡愶㠷攲〹慢〱㡣搹㠵㐰愶愱昹〰㉡〹攰㌷ㅥち㘶愶挹戰〶㔰㉡㍤愹晡㕦昳㜷㠳て〲捡㙣㌵摤㠸㈷愰摤搹挸㌶㙣㠴㤹㘵挵〱㘵㍡㤹ㄳ搰㉡㐰戶㈸愰㑣㐲㤳〱つ戲㜲㘶愳ㄵ〴㜴㍢㘸㌷扤㥦㌲㙢㑤〶㜴㝢㔶愲〳捡搴㌵㍤ㄴ㑦㐰㜷〰挶散㐱㈰搳摡㝣〰㍢ㄲ戰ㄳ〱捣㜴㤳〱晤ㅤ㑡㥢㌸晡晤㙦昸㜷㠶㈳愲捡ㄴ㌸摤㤲㈷慡扤搸㔲㙦戶挴㜴戵攲愸㕥つ㥤ㄳ搵㍥㠰㙣㔱㔴慦㠱慢㡣㙡㕦㔶捥ㄴ户㠲愸昶㠷㜶搳㔱㘵㉡㥣㡣敡〰㔶愲愳㝡〳戴㝡㈸㥥愸づ〴挶摣㠵㐰收捡昹〰〶ㄱ㌰㤸〰愶捦挹愸敥㡡搲愶㡥㝥晦㐹㜵㜷㜸㈲慣㑣慣搳㑤㜹挲扡〷㥢摡㤳㑤㌱〹慥㌸慣捣㝣㜳挲㍡〴㤰㉤ち㉢昳攵㘴㔸㠷戲昲〷㔰㉡〸敢㌰㘸㌷ㅤ㔶㈶搸挹戰敥捤㑡㜴㔸㤹㘵愷㠷攲〹㙢〸ㄸ㌳㑣㈰㌳昰㝣〰ㄱ〲愲〴㌰㈹㑦㠶㌵㠶搲㈶慦晦晤㘷搵〴㕣ㄱ搷挷㍤㙤㜹攲㥡㘴㕢㈹戶挵摣扡攲戸㌲愱捥㠹㙢ㅡ㤰㉤㡡㉢搳昰㘴㕣昷㘱攵捣挷㉢㠸敢㝥搰㙥㍡慥捣摢㤳㜱ㅤ捥㑡㜴㕣㤹扣攷ㄳ戶晤㠱㌱㐷㄰挸挴㍥ㅦ㐰㌵〱㌵〴㌰搷㑦挶㜵㈴㑡㥥㐹挰㘷搱㉦散㝦㔷㌵ち㡥㠸㉡㤳〰㜵㑢㥥愸㡥㘶㑢㘳搸搲㠷〰ㄴ㐷㤵㔹㝡㑥㔴挷〲戲㐵㔱㘵㙥㥦㡣敡〱慣㥣㐹㝥〵㔱㍤㄰摡㑤㐷㤵挹㠰㌲慡攳㔹㠹㡥㉡㌳〲昵㔰慡㌹㌸攷慥㙡〲㌰收㐴〲㤹㉤攸〳㤸㐴挰㘴〲㤸㐰㈸愳㝡㄰㑡愵捦㔵晥〱㍤〴㍥〸㈸㤳ち㜵㈳㥥㠰㑥㘱㈳㔳搹〸搳㡦㘴攷愷戱愴㍡㕦挱ㄴ㤲攲捣㠸㜶㔹㉢戲㠵㍣昳㔷愶戴㉥慥㐷捥㄰㌷㤹㈹攱㙣㌱攷㈳㈰㜵挸摦㘸㙡挶愳攳捥挵摦㘳攲晡扥㡣㠶扢敥㔰昴ㅤ㌱搲㡤ㄶ愶挷㔴摣戲愱晤昷愰戸晥散㜸摢ㄷ㐶搰㠷㉦㘳〶扡戸挳挴扡㙣㜳㔳㑢㔳扥戵晦ㄴ攴挴昵攷㜷敥攴换捡㐲㌵ㄵ㌷愳㐶摦㌶㌹戰捥㡤晣ㄲ摢〵ㄶ扥㠳㈲㌰慦戱㘹㘱愳散㑤㐵ぢ扦㝡㐸挶慢㑢ㄷ㌶ㄳ㘰㍢㝣敤㠲攰〵㤹㑡ㄳ㐴挱㍣っ㔵㜴慦ち㌲ㄷ㠵㤵ㄹ㠷㐳づ慥ㅤ㔹㝢挸慣㔰㉡ㄵ㡥挶㈳㜶㍡㘳㘵㘲㜶㈴㥣戶昳昱㙣㍥㤵戶慣㜸㉣ㅦ戳戲挶ㄱ㉥㌴㥥て㐷散㑣㈶㤱捤㔹愹㔸㈲㤳戱㔲挹㔴㉡㙥㘷㜲昹㔸㌲㥦㡥㕡挶㤱㉥㌴ㄶづ㠷㜲攱㤴㤵㡢㘵搲戱㝣㍥㤲戶攲昹㔰㉣ㅢ㡡㕢愱㔰㈶㥦㑢ㄹ㌳㕤㘸挲㑡攴戳㔶㌶㥤㡢㔹攱㔸㌶㥦㑢挷㘳㤱㜰㈴㤹㐸愴㜳攱㔸㍥㥡づ㌲㜷〶攸㌲昳㈸㐸㜳ㄶ挵㙣ちぢ㈲挸攴ㄹ晣㕦㘶㘶愸捡㔲攴㈸㙣㠸㈰㤳㙡昰扦挲户戹搳戳愲ㅣ搷㥢㥢㥢昵挲㑡㐴㐶㘴㐵㑥搸㥤扢㜴ㄱ㠳㡢扥挸愷㕤戶㡣晢㑤㈸㠶挱㘴㤹㡡㍦㠰摡捤㜳㉡摣㜳攸㡣㐱攰愹〸扡㘰搶㐳〴㠲㥤搰㜱㜶挸㘸㠰摣戶㜶攴慣挲慦㍤㌶ㅡ愱摥づ㙡㝣㜱㠷晥㉡てㅥ〴㐶ㄳ昴摤愰㤷㠹㐲昸㥥攵ㄶ攳ㄸ㘸戶㠱挶㤳㌵ㄸ散慣㙡㌷㡦㠵搱㕣捦戶〷㔲っ㠰㄰〶㡣㜲㘷㥢て㈳㌷攴扢ㄲ㕡ㅥ愰攲㑣㡣㤲㠷〵っ昸㕡㐸㐰㑡敥敢攲っ挰戸扦ㄷ敥慦㈶㙡㤲晢敢㘲㌸㘳㝦つ愰㡣慤㌲㘳〹愴戳扦㈶ㄳ愱慣ㄵ换㈴散㐴㍣ㅢ㑢㐶慣㑣㌴㤲㡤挶慤㤴㥤㑣㔸搹㙣㍥㘲㉣㜵愱昱㔰㈸㤲㠹摡搸㤳慤㜴㉣㥤戶㌳㐹散㘴㤱㌰昶搵㔰㌶㤲捥㘶㡣攳㕣㘸㌶ㅣ㠷㌲㤵㠹㐷㘳㠹㔸㌸ㄹ戲慣㘸㈲ㄱ㠶㔳㌸㘹愵慤㕣搶㌸摥㠵㠶ㄳ攱㜸㌸㡢㘳㐳敥慦戱㝣㈶㙣㔹昸挶敦㤴ㅤ㠹愱㕦愱㔴戰慢敡戴㜹〲㝣捣㘵ㄴ㈷㔲㥣〴ㄱ散愶㡤换愹㍡㤹攲ㄴ㡡㔳㘹散慥㡤㙤㑥戲づ㝡㡡㈰㡣摣㘷挵〲㠴㡤晢㤳摣㉦捥愲昳搹㄰㠱攰戶摡㥢晢㠵挹扤挰㈴攵㈶㔹づ㙥愷㡤ㄷ㔰戵ㅥ㌱㤵㕦愳㉣扦㔰㔹散挰㙡愹㕡〱愳㑢敢㡥搰㑡㕡㡦㐶㘳㉥慤㉢〱㈹㑤敢㕣㐰摢搳扡ㄳ㙡㤲戴慥㠲㌳㘸晤ㅤ捡搸挲㔷㌸㐲㍡戴㈶散㜴捣㑡㈴㔲愱㜸ㄲ摦㥦㙥㘷㔲搹㔸ㅡ㤳㔰㉥㥢㑥收㤲㤹㘴挶戸捣㠵收㘳㤹㕣㍡㥤捣愴挳㜶㈶㤶て㈵㌰て挵㈳愹㐴㍥㘷摢㌹㉢㤱㡥ㅡ㤷扢搰㔸搸挲昴ㄲ挲摣ㄳ㡡挶攲愸㌰ㄶち㘷昲㔹㍢㡣捤㝣㈲㤲㌴慥㜰愱㔶㍥㥣㑢㘷㘳㌹ぢ挶㔸㤸㍢㡤ㅤづ愵昳㜹㍢㥤㑣㈶㌲昱㐴戰愷敡戴㜹㈵㝣捣慢㈸慥愶戸〶㈲戸戳㌶㕥㑢搵㜵ㄴ搷㔳摣㐰㘳㉦㙤㜴昱㙤㜵㠸扥㌰㑡㕡愷㝢㘹扤㤵捥户㐱〴㠲晤戴户ㅦ慤晤戵昱㙥㍡慣㈷㠷㈱㡡扤㈱挴㐰ㄸ㈵慤慢㘱㜴㘹ㅤ〴慤愴昵㐰㉦慤昷〳㔲㥡搶〳㝣㘹ㅤ㡣㥡㈴慤㙢攰っ㕡㜷㐵ㄹ㕢㘵挶㠳㤰づ慤改㜰㉥㤴づ㔹㜶ㄴ散挴㜸㤰㘵ㄲ㤱㝣搴捥㐶戳昱㔰ち攷〴㘳慤ぢ戵㤲㜶㈶ㄱ捥搹㈹ㅢ㈷愲㝣㈲㥦挹㈵㜱㕥㐹㈵㐳昱㘸㉡㤲㡡㘵㡣㠷㕣愸ㅤ㑥攵昲搱㄰昶㤸㝣㍣㘶挷㘳愹㕣㌴㥡づ攵挳挹㌸攸捤㠴㈳挶挳㉥㌴㡢ㄳ㔰㈶㠴㜳㑡㉣ㅢ㡦攱愸㑥㘵慣㜰㌶ㄳ㑥㔸㤱㑣㈶ㅦ㡤收㠲扢愹㑥㥢㡦挰挷㝣㤴攲㌱㡡挷㈱㠲扢㙢攳ㄳ㔴㍤㐹昱ㄴ挵搳㌴敥愱㡤搲㠹㜸愷づ扡㡢愱㌰㑡㕡ㄳ㕥㕡㥦㈷攸〵㠸㐰㜰㉦敤敤㐷敢㌰㙤㝣㠵づ敢挹㘸㤲㈲㐱㕡㐳㌰㑡㕡㕦㘷㐳搴昰ㅤ㠱㔶搲扡愷㤷搶㌷〱㈹㑤敢敥扥戴㐶㔱㤳愴昵㙤㌸㠳搶ㄸ捡搸㉡㌳摥㠱㜴㘸㡤攵戳愹㜴ㄲ㜳愳ㅤ㡤挵㔲㤱㑣㍡㤷㡢摢搹㔸㈲㤴㡡㠱㕡摢㌶摥㜵愱㌸㌴㐱㐱ㅡ㤷っ攱㔸㉣ㄷ㑢㘵㜲戹㔸摡㡥㈶㤳昹㔰㌴㤷〸㕢挶㝢㉥㌴㥢㡤㘲㠲づ㠵㤳攱㐸㍡ㄶ户昲搸ㄳ㤲搸㔱搲愱㔸㌸ㄲ捤㐴㤳挶晢㉥ㄴ晢㔳㌶㠹摤〰㠷㘹㉡㤶愳ㄵ㤷㈶搱㘸㈶㤶捣愶搰㈳㍢ㄸ㔷㥤㌶㍦㠰㡦戹㡥攲㐳㡡㡦㈰㠲〹㙤晣㤸慡昵ㄴ㥦㔰㝣㑡㘳㔲ㅢ〹㉤㜲ㄷ晢挰㈸㘹摤搱㑢敢㤷㐴㝥〵ㄱ〸敥慢扤晤㘸摤㑦ㅢ扦愵挳㝡挴㔴㝥㠵扡晣㌲㜵戱㍦㡣㤲搶敦㘱㜴㘹慤㠶㔶搲ㅡ昰搰㙡捥〰㠴㤷㡣愲搲㤷挱ㅡ㌸㐹〶㝦〲づっ㡥㐴㤹ㅥ挶捦㤰づ㠳愹慣㥤㠹挴挲昹㐴〸ㄴ㐶㐳㈱捥㤳㜶搸挲㠵㕡捣㑡攷愳ㄱ㘳㠳ぢ攵㈴㙢㈳扥ㄱ昰ㄲ㡢㘴ㄳㄶ㑥挱㤱愴㤵〸㈷愱㑡㘵昲挶㉦㉥㌴㥤户攳搱㘸㍥㥤㑦攵慤㔸摥㑡愶㙤㍢㤵挹挴昳㠹㈴㉥㉡搳㜶搶昸搵㠵收昳攱㑣㍣㥤㐸攳戸㑤挷㤲改㌰㜶愵㕣㈶ㄲ捤㕢昱愴㥤捡愷攳挱㕡搵㘹昳㌷昸㤸ㅢ㈹捡㉡㈰〴㐴㜰㤴㌶㤶㔳搵㠹愲㌳㐵〵㡤愳戵㔱攲愵㈷㥤㘴㐵攲〰ㄸ㈵㠳㍦晣散㌹㡤㜶愵扤ㅢ㐴㈰㌸㑥㝢晢㌱㜸愰㌶㙥㑢㠷昵㘴㜰㌴挵㈸〸㌱〱㐶挹㘰てㄸ㕤〶㈷㐱㉢ㄹ晣〲つ敡搳㘸ㅢ㠳㥦㐳摢晥㡣挹㙣㉤挹㘰㑦㔴〵〶て㐲ㄹㄱ㈸㌳㜶㐶搹㘱㄰㘷捡㡣㙤攳捡㈶㙥㈷㘳㜶ち搷摡㤸㍦敤戴㘵㘷戳戹㐸㈲ㄲ㌷㝡戹搰㜴㌲ㅦ㠹挵㘳改〴慥㕢㘲改㜰㌶挵㙢㥡っ㜴愱㜴㈲ㄷ㐹摢㐶㙦ㄷ㙡㠷㜳搱㄰㠴㤵㑡㠰㤶〴㉥㤳攲㌶捦挹搹㜰ㄶ㍣㔹戶搱挷㠵㠶ㄳ㌸改摡㤱㈸㈶搷〴㉥挸㔲㔶㍥㤹戳㤲㜱㜴㈶㠹㜳㙣㌴ㅢ㍣㔸㜵摡散ぢㅦ戳ㅦ㐵㝦㡡〱㄰挱㐳戴㌱㐳㘶戳ㄴ㌹ちㅢ㈲㌸㐵ㅢ摢㥣㘴ㅤ昴ㄴ搳㘱㤴っ扥攱㘵㜰〸㙢ㅥちㄱ〸捥搰摥㝥っㅥ慡㡤㘱㍡慣㈷㜹ㄳ㈸挶㤳挱挳㘱㤴っ挶搹㄰㌵㝣ㅦ〹慤㘴昰㌹㉦㠳㥣㕡攵㌱昸ㄷ㕦〶㤹ㄷ㈶ㄹ㑣愳㉡㌰㜸ㄴ捡昴㌰昶㐱㔹捤愲戸㔸〹㈱挶㔶㉡㥡㡡攱ㅥ㈹㤳挸攵ㄲ戶㥤捣㠵㜳㜹㉢㥢㡡ㅢ晢扡搰㕣㈶㤱㠹㐶攳昹㌸㡥㡥㔸㌸㡤㌳㘴㉥㥢㑡㈵㜱〴攳敡㈸〶戲昷㜳愱㜹㕣㥡㠶挲愱㐴㈴㤲挶㙣㙣㘷㜱晦〵戶㘳戱㑣〴㌷㔹搱㐸捣ㄸ敥㐲搳昱㜰㈲ㅦ㑦㠵㘲昱ㅣ敥晤㜰㝥戴戳㌹ㅣ㤱戱㔰㍥ㄷて㠷戲戹攰㉣搵㘹㜳㝦昸㤸㈳㈸慡㈹㙡㈰㠲戳戵㜱㈴㔵戵ㄴ愳㈸㐶搳㘸㘹愳挴户戹搳㔳攴㘰㤴っ摥攷㘵㜰㍣㥤㈷㐰〴㠲戶昶昶㘳㌰慦㡤〷搳㘱㍤㘲㉡㝦晣㐰晥っ㠲㤸ぢ愳㘴㜰ㅡㅢ㠲㑤扥㡦㠶㔶㌲㜸㡢㠷㐱㘳〶㈰愵㑦㡥㌷晢搲㍡て㌵㐹㕡て㠳㌳㘸慤㐷㔹搲㝡㌸捡づ慤戸挷挰昷摥㈶㜱ㄳㅤ㡦挷㌲昹㝣㈶㙢挵㜹〷㤲つ攳摡㌳㥣〹ㄹ㐷戸㔰晣㈸㡢ㄵ挲愱㤵挹挷㜳戱㕣㍣㘹㐵戳搱㔰ㅥ㌳㌱㘴〶〷戶㜱愴ぢ㑤㘷昳搹㜰㉡㘶㈵㤳㌱戰ㅥ〹㕢戸晣〹㘱㕡㑤㠵㈳㠹㐴㌴㤹㌳㘶扡搰㔴㌲㤷挲愵㙢㌴㠶扢㜴散㉣戸㠳挱㡦ㄲ搹愱㕣㍥㤳〸㠵愳挹㜰戰㐱㜵摡㍣ち㍥收㉣㡡搹ㄴㄶ㐴戰㔱ㅢ㌳㔴㘵㈹㜲ㄴ㌶㡤㑣愹攳㜰ㅤ㈷攲㥤㍡攸㉥㥡㘱㤴戴晥挱㑢敢㍣㠲敡㈱〲挱ㄶ敤敤㐷㙢慢㌶ㅥ㑢㠷昵㙣㠴摦㙥㈵㝦㘰㐲㉣㠰㔱搲㍡㥦つ㘹㕡ㄷ㐱㉢㘹㍤搳㐳慢戹㔲ㅦ㤸㘷昸㌲戸ㄸ㑥㤲挱挵愸ちっ㉥㐱㔹㌲戸〴㘵㠷挱㐸搶戲㜰〴㘲捥っ㘳〹㈴㤵挲㘹㉡ㄲ㑢㔸搱㈸㘶㍢搰㤰㌴㤶扡搰ㅣ愶扥㄰㙥㐵㜲㘱㕣愶挴㜰㌷㤸换㈷㐳㤸㝦昳搹㔰㈶㠴敢㔷攳㌸ㄷ㡡㑢搳㌸愶摥㕣㈶㤳㑤〰㤸㑣㐷挳昱㜸㈲㤶㡣㐷攳㜱㕣㤱㠶㡣攳㕤㈸慥愸㜰㍢ㄹ㡤搸戸戶㡡㈵㐳改㡣ㅤ挹攷㜰㐰挶搱㤶㤵㑥㠴㠲㑢㔵愷捤ㄳ攰㘳㉥愳㌸㤱攲㈴㠸攰㜱摡戸㥣慡㤳㈹㑥愱㌸㤵㐶收敦㐹〶愵㤳㜴㜷㍤挵㠹㌰㑡〶ㄷ㜸ㄹ㍣㡢捥㘷㐳〴㠲㈷㘹㙦㍦〶㤷㙢攳〵㜴㔸㑦昲㉣㡡搹攴敢ㄴㄸ㈵㠳㉢㘰攴〶捡昸㥡ㅡ㐸挹攰搱㕥〶ㄷ㙡〶攷晡㌲挸摣㍢挹攰㉡㔴〵〶捦㐰㔹㌲㜸㈹捡づ㠳㌸攲挲挹㙣㍣㥣挱捤㕣㉣㡢㡢㝤散昶昱㔴㉡㠶〳㉥㤲挲㜷㔷ㅢ㤷戹㔰ㅢ户昹愹㑣搲捥愵㤳㈱摣㐹㘴㉣ぢ敢㕢㜶㈶ㅡ捡㘶㤲戹㔸㈲㘲㕣摥〶㡤攳㕡㌳ㅣ挱㝡〲づ慤㄰㑥㜳㤱ㅣ捥㡤改㑣搸㡥挵㜱㤷ㄸ㌷慥㜰愱戱㙣〶㔷㔸搹㉣捥搱㤹㔸ㄶ㌵㐶戳㤸慤㉤㠸㕣㌲㤹㡤㘴㠳扦㔷㥤㌶慦㠴㡦㜹ㄵ挵搵ㄴ搷㐰〴捦搴挶攵ㄸ㔷昱㉡挱㔹摡㐸愸攳攴搶㈱捥㠵㔱㌲㌸摤换攰慤㐴摥〶ㄱ〸㌲ㄳ㔰昲敦挷攰昹摡㜸㌷ㅤ搶㠳㈱昹㈳㈷昲攷㑥挴㠵㌰㑡〶㔷挳挸つ昹扥ㄸ㕡挹攰㠱扥っㅥ攰换㈰昳晣㈴㠳㙢㔰ㄵㄸ晣〳捡㤲挱〷㔱㜶ㄸっ㘵戲戱㜰搶挲㑤㍥慥攸昳〹㉢㠳搹㉦㥡㑢攲昴㤸捥攳昰戲㡣戵㉥㌴㥤㐸㠵挳ㄱ慣㈰㘶㜰〸挶㤳㌸㜸㈳ㄱ㌸㘶昲愱㌸㈶挷㘴摡㜸挸㠵㠶㙣㉣㔴㠶愲㌸㕥戹㕣㤳〸愳搶㡣㠵㉢搰㜸㌶㤳㐸㘰愲㌶ㅥ㜶愱昱㕣㍥㥥挸〱㄰㡥㠵㘲戸㠷捤㘴㘲搱㐴㈸㡡㡢㔳ㅣ摡戱㜰㌴戸㔲㜵摡㝣〴㍥收愳ㄴ㡦㔱㍣づㄱ扣㐴ㅢ㥦愰敡㐹㡡愷㈸㥥愶㜱㤵㌶㑡㑦改㈴摤改㈹㉥㠷㔱㌲㤸昰㌲昸㍣㥤㕦㠰〸〴㤹㝢㔸㤲挱㉢戵昱ㄵ㍡慣㈷㠳㑤ㄴ晣㌴戱戸ㅡ㐶挹攰敢㙣㐸㌳㜸㉤戴㤲挱㍤扤っ扡戳攸敥扥っ㕥〷㈷挹攰摢愸ちっ㕥㡦戲㘴昰ㅤ㤴搵㌱ㄸ㡤攱㘶摢戶昲〹捣㜷㤱㘴搲捡攵㔳搹㜰㈲㠹扢㙥㕣㘱㘶㘳挶扢㉥ㄴ搷㌶㌸摥㌸㉤㈶㜰㝡㡢攷慤㜰捡㑥㔹㤱㔸㌲㠶㔳㘱㌸ㅦ㌶摥㜳愱㔸㐵挶〱㥣捤㈷㘲扣㔵〱㥤昹㜰ㅣ搷戵ㄱ㉣摤㠵㤲㔶㌸㙤扣敦㐲戱㠲㥣㑣攳晡㌴㤹挱㠹㌳ㄵ〵㙢㐰攱㝥㌱㥤㑦㈷攳改㜴㍡㜸㠳敡戴昹〱㝣捣㜵ㄴㅦ㔲㝣〴ㄱ扣㔱ㅢ晤㘶㔱愶㐳㑡づ〸㜵㥣愴㍢㉢ㄲ户挰㈸ㄹ摣搱换攰㤷㐴㝥〵ㄱ〸摥慡扤晤㡥挱摢戴昱㕢㍡慣㈷㜹ぢ㈸收㤳慦㍢㘰㤴っ㝥捦㠶㌴㠳㜷㐱㉢ㄹっ㜸ㄹ扣㥦ㅤ㤴㌷㠹扥っ摥つ㈷挹攰㑦愸ちっ晥〹㘵挹攰捦㈸㍢っ㘲愲挴愲ㄹ㙥㄰戰挲ㄹ㑢㐴戱摥㡦㘵㥢ㄸ攸挱搵愱㡤ぢ㔰㘳㠳ぢつ挵㌳㔱摣㉤㐴㜰㐱㠲攷〶ㄹ㜰㠴戵扢ㅣ㙥散愲攱㕣捡ち挵㡤㕦㕣㈸㉦㜱㜰㝤〲捥挲㔸㌰捤㐴戰捥㥦㐹㘳戹㌵ㄲ戶㔳㤸㔹昳挶慦㉥㌴㤷㡢㈶昲〹晣戰㈲搶ち戰摥㡡㔳㕦㉡㘲攷戰〲㥢㠸㘶戳改扣ㄵ扣㐷㜵摡晣つ㍥收㐶ち㝣㌲ㄵ㌷㠹㄰挱㝢戵戱㥣慡㑥ㄴ㥤㈹㉡㘸㘴晥愵㘴㤰㔰挷㔳搶㐱㜷昱〰㡣㤲挱ㅦ㝥昲摥㈴ㄲ搹つ㈲㄰㕣愳扤晤ㄸ㝣㔰ㅢ户愵挳㝡㤰㈰㝦慤㐸晥㙥㤱㜸〸㐶挹㘰て㌶愴ㄹ㝣〴㕡挹攰ㄷ㘸搰扤㐹㜴㡦挱捦愱㙤㝦㤳昸㈸㥣㈴㠳㍤㔱ㄵㄸ㝣っ㘵挹攰捥㈸㍢っ㘶㜱㑢㤱㡥㈵戰戲㤹捤挶愲㌱㉢㠳㕢㌹㉣㤱攰㌶㈰㠴㈳㉣㥦㌰㝡戹搰㠴㥤挳愳ㅦㅣㅥ㘰ㅤ㜷〰戸㐰挱㙡㑤ち㙢戲㔹㥣捡㉣慣扥昴㜶愱改㥣㡤摦户挴愹㌵换挵㌷ㅣ㕢愱㐴㍥㠲㙢摣㈴ㄶ搹㜲㜶㍣㙢昴㜱愱㤹㐸㉡㥥㑡㘳㤷㐹攴㘰㑤㘰搵㉤㘶㕢戱㄰㝥愸㈳㤳㡢搸㜶㍥昸戸敡戴搹ㄷ㍥㘶㍦㡡晥ㄴ〳㈰㠲㑦㘸攳戵ㄸ㔷昱戲敡㤳摡㐸㘸㤱扢㜸〶㐶挹攰ㅢ㕥〶㠷㄰㌹ㄴ㈲㄰㘴づ愷攴摦㡦挱扦㘸㘳㤸づ敢挹攰㈹ㄴ㈷㤳慦攷㘰㤴っ挶㘱㜴ㄹ㝣〱㕡挹攰㜳㕥〶摦㘴ㄳ㍣〶晦攲换攰㡢㜰㤲っ愶㔱ㄵㄸ㝣〹㘵㝡ㄸ晢愰散㌰㠸㜹搱捡㐵攳戹ㅣ㙥摢㜱㜶换愷㔲戸㍡つ挵戳㜶挲挶㔳户㐴摡搸搷㠵㠶㜰挱ㄸ㡢搸㔶ㄶ㘷㍤ㅣ㔸戸搳挷㤴㤸捤愵昳㔸㤶挳昳戸㤸戱㥦ぢ挵㐵㑣㈶ㄳ挲摤㐱〸㔰摣㐳㔸改㘸㉥ㅣ〹搹㜶ㄴ昳㙡㍣ㄹ㌷㠶户㐱昱挳㉡㜸㘶㠷㐵愰㈴慡〱摦ㄶ㔶㙡㤳㔱㉢ㅢ挷愳扤㔰㌶ㅡ㘴昶愸㡣攴晥昰㌱㐷㔰㔴㔳搴㐰〴晦慡㡤㈳㜹㙣ㄶ摤㈴扥愲㡤㠴㝡㍣㔹㤱昸ㅢ㡣㤲挱晢扣っ㡥㈷㜲〲㐴㈰挸愴㔱搹慥ㅦ㠳㙦㘸攳挱㜴㔸㡦㤸捡㥦挹㤲㍦㤸㈵摥㠲㔱㌲㌸㡤つ挱㈶摦敦㐰㉢ㄹ扣挵换攰㐲捤攰捤扥っ扥ぢ㈷挹攰㘱愸ちっ扥㠷戲㘴昰㜰㤴ㅤ〶㜳愹㙣㈸ㄷ挵㐵㝦ㄸ昷㙥㔸〸㑤摢㔸㙢挳㈲ㄷ㤶㐰戱攰〵〶㡦㜰愱扣散戴㜰㝥挲ㄵづㅦ㉦㠵㉤㉥㤵㐷㜱㘳㤸㐸攳㉣㘸㐷㡣㈳㕤愸㤵攷挳慣㘴㈲㤹挴つ㍢㥥㔰㘴㈲〹摥挱㠷㜰戸挷㌰つ㈷㡤㤹㉥ㄴぢ愳戸㜰㑡㕢㜹㕣㡡攲っ换换愴㜸〶散愵㜳戸攰挵愲㜹㤰改慡㌲㤲㐷挱挷㥣㐵㌱㥢挲㠲〸㝥愰㡤㝥搷愲敢戴㔱㝡ㄲ敦㜸戲づ昱㌱㡣㤲挱㍦㜸ㄹ㥣㐷㔰㍤㐴㈰戸㕥㝢晢㌱昸㠹㌶ㅥ㑢㠷昵㘴昰㐲ち㝥㘷愲昸っ㐶挹攰㝣㌶愴ㄹ晣ㅣ㕡挹攰㤹扥っ㥥攱换攰㍦攰㈴ㄹ㕣㡣慡挰攰ㄷ㈸㑢〶㤷愰散㌰㠸㠵敤㕣㌲㡡㈷摦ㄱ慣㤵㘰搹㉢㠳㤹㌴㡤㠳㌰㠹ぢㄵぢ㔷㌹挶㔲ㄷ㥡挰愳愶㑣搴㑡攰㐹ㄲ搶㘸戰晡㘹攵挲㐹㉣㠰㐷戳戸㈳挰㘲㠰㜱㥣ぢ挵㉤㝦㌶ㄳち摢㔸㜶つ挷㜰愳㤲㠲〲㠷愵ㅤ㑦攰㤹㐷挴挶晤愰ぢ㡤㠴㌱㕤㠷戰㔶㘴搹〹ㅣ㜳㘰㄰ぢ戵昲㌱㔵㈴ㄳ挲㉡㙢昰㑢搵㘹昳〴昸㤸换㈸㑥愴㌸〹㈲昸㤵㌶晡㌱昸戵㌶㑡㝣㥢㍢㍤挵㌷㌰㑡〶ㄷ㜸ㄹ㍣㡢㌵㥦つㄱ〸㝥慢扤晤ㄸ晣户㌶㕥㐰㠷昵㈴㙦ㄵ〵扦昴㔱㝣〷愳㘴㜰〵ㅢ搲っ晥〰慤㘴昰㘸㉦㠳㌳昴㌱㌸搷㤷挱ㅦ攱㈴ㄹ㕣㠵慡挰攰㝦㔱㤶っ㕥㡡戲挳㘰捡ち㐷戱晡㠱㈳㉢㡦㔸摢㜶挶挶戴㡡㔵ㄷ㕣㜴㠴戰攸ㅣ㌳㉥㜳愱㔶ㄲ㙢㤷㠹㝣搴㑡㘳改㡣㜷〹㔸愷㡥㈴戳㜸㠸㠵愵改㑣㈴㘳㕣敥㐲昳挹㘸搲づ攱挹㐶㌶㤴㡣挵愲㘱㕣挶㠶ㄲ㔶ㅣ户㜸戸昳㑦㘴㈳挶ㄵ㉥㌴ㅢ挱㤵㔳㌶ㅢ戶㤳㘱㌰挸〵昲㘸〸敢㐳㜸㈸㤵挲ち戹㙤〵㝦㔲㥤㌶慦㠴㡦㜹ㄵ挵搵ㄴ搷㐰〴㝦搶挶っ挶㔵扣㔸扡㐱ㅢ愵ㄳ昱㑥ㅤ㜴ㄷ扦挱㈸ㄹ㥣敥㘵昰㔶㠲㙥㠳〸〴㌷㙡㙦㍦〶ㄹ㐶㐶搲扣㥢づ敢戹㜵㌵〵扦戵㔲㤴挳㈲ㄹ㕣捤㠶愸攱扢㌳戴㤲挱〳ぢㄸ挴散㉦捦㠳〷昸㌲㔸〱㈷挹攰ㅡ㔴〵〶㤹㐰㡢㍦㍣㐹㐴搹㘱㌰㤹挳㍤㐳摡㡥㘱㠵㉣㠶昵捤㌴ㄶ㑤愳ㄱ㑣㜶㜹ㅣ㐵㌸㌹㈵㡣戵㉥ㄴ㤷㠸戸㠹户戱㈶ㅤ㐵㉥〹㙥㍣戰敡ㄵて㕢㌸㘸戰㌶づ㡤昱㤰ぢ㡤攲㝡〸㙢〳㠹㔴㌲㥦挵㘳㈳㕣攷㠴㜱㜲挳㠵㈹敥ㄶ昲ㄱ㕣戶㍥散㐲ㄳ戹愸ㅤ戲戱挶㠳㡡㜱て㠲攷捦㔹㍣ㄶ挱㍡㑤㉥㠷㈵扢㙣㈲挸㠴㕦㜶摡㝣〴㍥收愳ㄴ㡦㔱㍣づㄱ㘴挶慦㌴㍥㐱搵㤳ㄴ㑦㔱㍣㑤㈳㌳㠱摢㍣愵㤳㜴愷愷攸〶㡢㘴㌰攱㘵昰㜹㍡扦〰ㄱ〸㜶搷摥㝥っ㙥愳㡤慦搰㐱㌲挸㉦捡㌴㙦㠴㄰㐱ㄸ㈵㠳慦挳攸㌲挸晣㕤挹攰㥥ㅥ〶㡤㌷〱㈹扤㔸扡扢㉦慤㑣敤㤵戴扥つ㘷搰捡㌴㕥晣攱㐹㈲捡㙡㙡挵㜴挶挷㐳戸㠵挳㘳〴摣戴攳㘶づ㜷づ捣慡挰㘲つづ愱㜷㕤㘸㍣ㄲ㑦愴㜰昵㥦〹㔹昹ㄸ㙥摢㌹〳㐶㤱捥㘱㈷㌰㌱㘳㍤搴㜸捦㠵㘲搵ㄳ㌹〳昹㙣〲〷ㅤ慥㘵挳戸㔵㐰㌱㥣㑤挶昱㜴㈳ㅣ捥ㅡ敦扢搰〴搶搱昳挹㘴㌲ㅣ挶㍣㥤戶攳㤹㘴㈴㡦散㠳〸㙥㌱㔳㈱㍣㈲〹昶㔰㥤㌶㍦㠰㡦戹㡥攲㐳㡡㡦㈰㠲捣㍢收㠸捣㡦愹㕡㑦昱〹挵愷㌴敥愴㡤搲㤳昸㌶㜷戱㌳㡣㤲搶ㅤ扤戴㝥㐹搰㔷㄰㠱㘰㉦敤敤㐷㙢㙦㙤晣㤶づ㤲㔶㝥晤愷挹㉦ㄳㄵ㝤㘱㤴戴㝥て愳㑢㙢㝦㘸㈵慤〱て慤㙤捦愱㉡㝤ㄹㅣ〰㈷挹攰㑦愸ちっづ㔴敤ㅡ㍦愳散㌰㤸つ愵ㄲ㔹㍢㠵愷㝥㜸戲㥢捣愶㔳戸搱捦攵昰戰〱㠹㌹㤸㘹昱㈴搱㠵挶㤳㈱㍣慡㑦㔸戹〴敥昳㌰戵攲戹㐷ㅥ愹㌳㜶㍣ㄹ捤㘵戱戲㙤晣攲㐲㤱㜸㠳㠷㔹昸昱昲㜴ㄶ㉢〲㜸扡㠴晢ぢ摥㈴攲㝥ㄲ换㌶搹戴昱慢ぢ㡤㈲㘹〳㐹ㅡ㔸扡㡢㠴㘲㤱〴㌲㜱㜰摢㤲㑥攰㑣㥣换㔹愱㘸㍣戸㡢敡戴昹ㅢ㝣捣㡤ㄴ㘵昸摡㈸㤳扦㝥ㅤㅣ愴㡤㝥㔳敢㘰㙤㈴搴攳挹㡡〴ㄳ㥡㈵㠳㍦晣搷㝢㤳㐸㘴㌷㠸㐰㤰㌹捤昸挳㈷搵㈱㡢ㄳ㜲㤸敢㉣㡤摢搲㐱㌲戸㥡搸㝢挹攰㔰㔸㈴㠳㍤㘰㜴ㄹㅣ〶慤㘴昰ぢ㌴攸摥㈴扡㈷挷捦愱㙤㝦㤳挸㡣㘵挹㘰㑦㔴〵〶㐳㈸攳て㑦ㄲ㔱㜶ㄸっ㘵戱〲㠶ㅢ扥㔰㈴ㄲ㡢㈵㉤㉣㌲攳㜲㌵㠴〷晣㜸㡣挸㙣㈹愳㤷ぢ㡤挴㜲㘹ㅣ㉦戸㠶捤㔸㤸㜷昳㤹㑣〶㉢摡㌹㍢㙡㈱昶㜹㐰㝢扢搰ㄴㅥ㉤㠶昱㈴挲㘲昲㐵㌸㥢〰搹戸㘹〹㈷戱㑣㠰愵敤㕣捥攸攳㐲㘳戸敦て㘱㕤〸昷㠵㐸〱捣㈰㍦㈳ㄵ捦㠶㈲㤸ㄸ昰㈴㉣㘵㠷㠳㘱搵㘹戳㉦㝣捣㝥ㄴ晤㈹〶㐰〴㤹㑥捤ㄱ昹愶〰㌲捤㕡ㅡ摢㥣㘴ㅤ昴ㄴ㑣㥤㤶っ扥攱㘵㜰〸㙢ㅥちㄱ〸㈶戵户ㅦ㠳捣慡㤶㔵㠷改㈰ㄹ攴ㄷ戰㥡晣㍡㔷戱て㉣㤲挱㌸ㅢ愲㠶敦晤愰㤵っ㍥攷㘵昰㑤搶㈲㙦ㄲ㝤ㄹㅣづ戳㘴㌰㡤慡挰攰晥㈸搳挳搸〷㘵㠷㐱㍣挳て攵ㄲ㠹㠴ㅤ挲搹㈹ㄹ戵㜱㌵㘹攵㐲㈹㈶㙡攲㥣㠶㘷㝥晢扡搰㜸㌴ㅦ挹攱㔱ㄲ㙥㌵挲㌱㕣捡愶挳㠹㉣ㅥ㍣搹㔱㕣㜷收挳㔶摥搸捦㠵攲晡〷㑢攳㔹摥㈸㘴㘲愹扣㥤挲㌱㠵攳㌴㙦㐵戰㉥㠷㐵ㅥ㘳戸ぢ挵㍡〱敦㍣戲攱㘸づ慢㜲愹㌴㤶攸㤰㐴㠷愶昲戸昹挸挶㔳挱ㄱ慡搳收晥昰㌱㐷㔰㔴㔳搴㐰〴慢戵昱㘳㙣ㄴ攷㘳搴㘸愳㜴㈲摥昱㘴㐵㘲ㄴ㡣㤲挱晢扣っ㡥㈷㘸〲㐴㈰㌸㕡㝢晢㌱挸っ㙥晣攱㍢㑦攸㈰ㄹ㝣㤲挵㈷㈰㠴捣挰㘶㘹ㅡㅢ愲㠶㙦㘶㘰㑢〶㙦昱㌲戸㤲戵㤰挱㥢㝤ㄹㅣて戳㘴昰㌰㔴〵〶㈷愰㑣て攳㜰㤴搵㜹㄰㡦㜱㜱戰昰㔲〲换㥥㜸〸ぢ晡愲㌶㥥敦㘱〵づ㡢㉢ㄱ攳〸ㄷㅡ㘶慡ㅣ㔶㔳㜰㝣攲㕥㌱ㅣ捦攰㘹㕦㍥ㅥ㡡愷昲㈸攷㔳〹攳㐸ㄷ㡡㌴㐷〰攲㔸㄰て㘷㜰换㠲㘳㌶㠲换㔲慣搷愰戵㙣㈶㡡㠷㠶㉥ㄴ㌹㙥㌱㈴㔱攱㐹ㄳ㙥て挱ㄹㄲ㉡挳㜹㍣㌶㘴ㅥ㙦〲㡦㐲㠲ㄳ㔵愷捤愳攰㘳捥愲㤸㑤㘱㐱〴㈷㘹愳摦㘲㈹㤳挷㌹㕣〷㉦摤改㈴敢㄰捣ぢ㤷っ晥挱换攰㍣摡敢㈱〲㐱愶㠶㑢㙦㍦〶㤹㌲㉥㡤挷搲㐱㌲昸ㅣ㕢攲ㄷ敡〶愷挱㈲挳㍥ㅦ挶敥㔵ㄵ㠷愱扣㙦㔱收慥晦㜷㘷づ㈹晥昵搲搱昸㌵㔲㝥搸慢慣ㄳ扥㌴搰昹慡扤捥攵晢㙣㕤㕤捣つ收㌷㙤昲㕤㜱㈶㐶晤㍦愸㠷晢㘴㕢㥥㌹㙢散㠷户戹㄰〳慥㌸ち挳つ昹㜵搱挹ㄷ㥥㠲㙦㑢戴㠷搵㡥㑣づㅢ扤㈸㙢搷搷摡昵昵㐸ち挶㠹慤慣㐷挳戸ㄶ㙣摡捤㉤㔳㥢㙡昰搳㡥㜳攴㙦づ㍡扦晦〷晤㄰晤愳㥡㠳㜵㈶昱㤰㠶㥡㑣ぢ扥愹戵搵搶㙥㤳㥢㕤㍦晣㐸㈵㜲搶愵ㅦ扥㡡戳㐷㕢挹昳㔵㠵扤摡戴攳ㅡ㕢昰㜳戱㜶㑥搷搸㔲㈶昰搱昵㑥挲昷摢㐳㐷㌵㌵㔸㜵㡤挳昸摤㠴慣つ㍦ㄸ㍢㉥挷〰昴昲昹愲挶㤱㜵慤昲㡢㑥㝢挳㉥捣挳ㄱㅣ㘳㌱挲搴㘵昸愰㥡㐹㠳挲搱㡡搳挰挴㘶㌷㔲ㄸ㜷㌶搹〹敦㠰戹ㄴ㌵㡡㔹愸㥢挱ㄷ收ㄱ㙣攵㜸搵捡㐴戴㈲㤶愳ㄵ戶挴㝤㈹㘰㉥㈳㝣戶ぢ㍦㤲昰㤳ㄴ㝣㌲攱㈷㈸㌸っ㠰㥦㑣戸攵挲㘷ㄲ㝥㉡㜴愵㝥㠷㍡㕡戱〴晥扥摦慢慣㈲㠷ㅣ㜱ㅤ晡搱㡤昳昹捤㐸㥥摤㠹挳攲㉢㘰㥥捥㠶㜹㠱挴慥戳㉦㠲〹㍢㉣㜰搸㠲㠹㍢㝡㔰㐸㤰㉦㉢㘳戳昴慣㥡㠷〲㜷㈹扥㍤慦㙦㐶愸㐲戵昳㝦愵晡㍦愸晥摦愱扡慡㕥㝢捥ㄴ〳㉥慣愹昸㜰搹㔵摦摥戲敦攰㉢敥摣愸晥㕦㈶㍤ㅦ㍢㐴㜹ㅣ愶晥慦慢ㄶ挷挲㜳㌰慣收㐷ㄴㅦ㔳㜰㘲㄰昳搱愹㜷昰㠳㡢敤㝥愱愶㔵ㄹ㡡㝦慤㌲㌸ㅦ㌵挹〹攴ㅣ㡣扦㝢㤵㔸㡣㌲㈷ㄱ搱ってㅥ戹㡣㤰㜹ㅥ㠳㜳〲搴づ攷㑢戰㘵㕣〰㥤㌱㝣搰㜴㜲搸〸愰㡥づ㝥㔷㠳攸㘵㉥㝡㈹搱㉢ㅣ昴愱㐴ㅦ慤搰搰㈳昰㉢㠹㍥搱㐵ㅦ㐷昴㉡〷㍤㠳攸扣㐲㍢㝢摦㘵㐴㥦攴愲㡦㈷晡ち攸昰㐳改〵㕦㈴搳㝦搷晥㠳㙡改㥥㠱扢收㉡㘰㕥㐵昷攵㜰㘲㙦昱㕦㤹㌸㔹ㄵ㈴换愷愸〲㜷㕤㜱㉡ち摡戳敡㉣ㄴ戶㡥攵戳戵㘷㠷㉣㤷敤㔰㡤㌶昱ㅡ㔴㉤晦㉢ㅢ㔶㉤㉥㠰愷ㅦ换㌳搱㜷㕦㤶㡦㔴㠶攲㥦攴っ慥㐰㑤㤲攵ㅢ㌰㝥戰扣ち㘵挹昲攱昰㜰㔹扥㠹挱戹ㄲ㈶㠷攵㑢戱㘵晣ㄱ㍡捥ㅦ㘳〷㠵㘳㘲㍡搰㙤㌴摦㑡昸㔵㉥晣㌲挲㙦㠷捥晦攷摡㘳攲㄰㜸敢㜸攲㠷ㄷ攸㝤戵敢㝤㌹扤敦㔶㡤㡤㘳㘳㤳㔴㘳㌰㘰㉦戹㠷昰㙢㕣昸ㄵ㠴慦㔶昰〳〸㍦㔰挱㥤摤攴㝥挲慦〵挸攵昹㍡㔵㤰㍣㕦慦ち㤲攷ㅢ㔰搰晤慡扡ㄵ㠵慤攳昹㌶敤㔹㡡攷㑢㔷昱昵挷ㄱ捥晦㙢搴晣昰搷ㄱ攲㙥㜸晡昱㍣ㅡ㐳昲攵㜹㤴㌲ㄴ晦昲㘸㜰㌵㙡㤲㍣㍦㡣昱㠳攷㌵㈸㑢㥥㐷挲挳攵昹㔱〶攷ㄱ㤸ㅣ㥥ㅦ挴㤶昱戸㡡攵搸㐱㤱戰搸㕦挵搲㤹挱㥦㈴晣㔱ㄷ扥㤶昰愷ㄵ㝣ㅣ攱晢㈸㌸っ㘰敡捦㠴㍦收挲ㅦ㈲晣㔹攸㝣㜷ぢ㜸㈷攰慤挳㡦敦攲愷昷攳慥昷挳昴㝥㔱㌵㜶〰ㅢ㡢愸挶ㅣ㥥㕦㈶晣〹㠰㕣㥥㥦㔴〵挹昳㔳慡㈰㜹㝥ㅡ〵摤㔰搵昳㈸㙣ㅤ捦㉦㘸捦捤攵搹攱晢搹ㄱ攲ㄵ㜸晡昱扣ㄷ㠶攴换昳㔰㘵㈸晥㠱搵攰敢愸㐹昲晣㍡挶て㥥摦㐶㔹昲扣㈷㍣㕣㥥摦㘴㜰㍥㠰挹攱昹ㅤ㙣ㄹ㙦扢戱っ㈷挴慥〵戱㝣㤷昰㜵㉥晣㕤挲摦㔷㜰ㅣ晥〹㌱㔰挱㥤摤㘲ㅤ攱ㅦ扡昰昷〸晦〸㍡㕦㥥攱摤ㄷ摥㍡晣〱㜳㍤扤㍦㜲扤摦愷昷愷慡㌱ㅣ晥〹戱戳㙡っ〶散㔴㝦㈷晣㘳㙣扢㍣慦㔷〵挹昳㈷慡㈰㜹晥ㄴ〵摤㔰搵㤷㈸㙣ㅤ捦㕦㘹捦㔲㍣㍦搰昷搴㉦て㝥攰㡥ㄱ㑢㜷戸㘳散㐷㑢敥㜵㡦㙢昱㉤㍣晤㜸敥㠱㈱昹昲扣㠳㌲ㄴ晦㡥㙣昰㝢搴㈴㜹晥ㅡ攳〷捦㍦愱㉣㜹摥づㅥ㉥捦晦㘲㜰㝥㠳挹攱昹㘷㙣ㄹ摦㐲攷捦㐴㔲㙣〳㘷ㅤ愰㠰昹ㅦ㝡昳㕣攸㜸㙦愰昷昷搰㜱搶挷捣㥡ㄴ〱挰ㄹ㜶攷㠸晢㤱昰戲ちつ晦㠵昰㥦ㄴㅣ挴㈵㠵愱攰㌰㠰戸つ㠴ぢㄷ晥㉢攱扦㉡㌸㜶慡愴㈸㔷㜰㘷愷摡㐸㜸㌹攰㉥捦㥤㔴㐱昲摣㔹ㄵ㈴捦ㄵ㈸攸㘱㔴㜵㐵㘱敢㜸敥愶㍤㑢昱散昰㝢戱攲昹晡ㄱ㥡㜷戱㉤㍣〷㘳㤴挵㔷㘱扦晥㔸㠲攷㕦㤴愱昸攷㜲㠳㍤㔰㤳攴戹愲㔲昲摣ㄳ㘵挹昳捦昰㜰㜹敥〲愳攸ぢ㤳挳搴捥搸㌲㑣攸挸ㄴ慥扣㔳攲〷愰ㄹ㌸㈷㤶㕤〹敦攷挲㝢ㄱ摥㕤挱㜱攵㥤ㄲ晦㔶㜰㠷愹㉡挲晢扢昰摥㠴㙦慢攰戸㝢㐸㠹㝦㉡戸戳ㅦ㙣㑦昸〰ㄷ摥㠷昰ㅥ搰㤵扡㔰㑦㠹㉦攰慦昹ち㤸㍢〱㕢㌵㠴㕥㠸㈰摦㥥搷㘶㕣㍢て搵㥥愵㔸㤳搵昹㕤㍢㠷攱㌹ㄸ搶㘲搶㍥㐵昷㝣㡦捥㑦㤴愱昸㌷㝥㠳㜱搴㈴㔹敢㠳戱攰攸㑣愳㉣㔹晢ㄸㅥ㉥㙢晤ㄸ愸晤㘱㜲㔸摢〷㕢挶〰攸挸摡挸㐱㤱㤰昸〰攸戶攳㙢ㄷ挲㐷戸昰㝤〹ㅦ慣攰㌵㠴扦愳攰づ挹扢ㄱ㕥敤挲昷㈳㝣て〵慦㈵晣つ〵㜷㐸ㅥ㐲㜸㡤ぢㅦ㑥昸㕥搰㙤㍢㝣愰晡挶㐰攷挲ㄹ㡥慦挲戱㡤慥扤改挸〴〷昷挰㘴愲㠳敥戶ㄸ愵ち昲挰ㅣ㡤㠲昶慣ㅡ㡦挲搶㔱㍣㐱㝢㤶愲搸㌹㌰㑦ㄹ昱昳〹㐷㍦搴㝡搱ㄹ敡挰㍣㜷㠴㌸ㄸ㥥㠳㝤㈸㝥ㄱ㐳昲愵昸〵㘵㈸晥ㄵ攳攰㌴搴㈴㈹㡥㘳晣愰昸㌰㤴㈵挵捦挱挳愵㌸挹攰ㅣ〵㤳㐳昱攱搸㌲搲搰攱昶〸ㄷ捥㐹昱っ挰㙤挷攵扥㐴捦㜲搱㐷㄰㍤㕣愱挷〱晤㠴㐲㍢㡣㡤㈰㝡戶㡢㍥㤲攸ㅡ攸㝡っㅦ攸晤慡〷㠷戶愴㜸〴捥㍡昶〱戳㤶捥㤶敢㍣㤳捥愳㔵㔳〷愰愹〷㔵㔳捥㈱㍤㤶攸っ㌰㉥挷㔹㔵㤰㤳㙦㑥ㄵ㈴挷㌶ち扡㥤慡㜹㈸㙣ㅤ挷昵摡戳ㄴ挷㝡㔶搰ㄷ捦挸愲挴敢㥥ㄱ攲㔸㜸づ昶攱㜸㌵㠶攴换昱扤捡㔰晣㐳捤挱昹愸㐹㜲㍣ㄱ攳〷挷㡢㔱㤶ㅣ晦〹ㅥ㉥挷㤳ㄹ㥣ㄳ㘰㜲㌸㕥㠲㉤攳㘰攸搴㘱ㅣㄱ㜷ㄴ挴㜲ち攱换㕣昸㔲挲愷㈹㌸㡥换㠸戸㐵挱ㅤ㤶㘷㄰㝥愲ぢ㍦㡥昰挳ㄴㅣ㐷㝤㐴摣愸攰捥㔱㝦〴攱㈷戹昰攳〹㥦〹㕤扢挳㌸㈲慥㠵愳㈶㉡㘰捥愲㈳ㄷ㌰㕤㡡㑦㔶〵㐹昱㈹慡㈰㈹㍥ㄵ〵敤㔹㜵ㄶち㕢㐷昱搹摡㜳㔳ㄴ敢昳慣愶㕡㕣〰捦挱㍥ㄴ㕦㠱㈱昹㔲㝣戹㌲ㄴ晦ㄴ㜵㜰〵㙡㤲ㄴ摢ㄸ㍦㈸㕥㠵戲愴昸㔲㜸戸ㄴ捦㘱㜰慥㠴挹愱昸㔲㙣ㄹ㜵搰㔵㜰㤵㈳㈱晥〰㙣摢㔱㍣㡦攰慢㕣昰㘵〴㌷㐰㠷㡢㉥㥦㠵㠸㠴戸㄰摥㍡㥡〱戳㠹摥㔷扢摥㤷搳晢㔸愷愹ㄹ㘸敡㕣搵㤴㜳㕣戶㄰㝣㡤ぢ扥㠲攰昹づ昸㔰㠰捦㔴㘰㘷㑦㕡〸㐳搵慤㠴㈰㜲㝣㝢㕥㥢㜱㕥扤㑤㝢㜶捣㔶㜱㑤㍢㔴㡢扢攱㌹ㄸ㡤ㄵ㥦㔷㑦㐵昷㝣搹㍡㐵ㄹ㡡㝦㌷㍢戸ㅡ㌵㐹戶㡥挷㔸挰搶ㅡ㤴㈵㕢换攱攱戲戵㡣㔱㜹〴㈶㠷慤〷戱㘵㥣〴ㅤ㈷摤摡㐱㘹㜱㐲㐱㔸㑥㈶晡㔱ㄷ扤㤶攸㔳ㄵ扡〶攸㈵ち敤ㅣ㕦愷ㄳ晤㤸㡢㝥㠸攸摦㉢昴㐸愰ㄷ㈸戴挳捦㔹㐴㍦敥愲ㅦ㈶晡ㅣ攸㠲㐵㈷搵戴㘸㠶㕦摢㑥㜰ㅥ晤㥥〰摡㍤ㄸ㥦㔴〵㜹㌰㍥愵ち昲㘰㝣ㅡ〵敤㔹昵㍣ち㕢㐷敦ぢ摡戳ㄴ扤晡攰㙢㜷㔳昳ち㍣〷晢搰摢㠰㈱昹搲㕢慦っ㙦ㄵ晤㉡㜸昰㜵搴㈴改㕤㠱昱㠳摥户㔱㤶昴ㅥつて㤷摥㤵っ捥〷㌰㌹昴扥㠳㉤㘳ㄵ㜴挵㔳ㅣ㔷〸ぢ愲㝡ㄹㅤ搷戹㡥敦搲昱ち攸㌸㔱搷挸ㄵ㐱挰摢㡥攳慢〸晦搰㠵扦㐷昸㌵ち㍥㤲昰愳ㄴ摣攱晡㍡挲㍦㜲攱敦ㄳ㝥㠳㠲换昵挶挳ㄵ摣㌹ㅡ㙦㠲愹敡㑢㠲㄰扡㉤㍦ㅡ扦搲㥥愵攸搲㤷㐰捥㍤挹戹敡ㅥ攵攲ㄱ攲㕢㜸づ昶愱㙢ㅡ扡攷㑢搷㔴㘵㈸晥つ昳攰昷愸㐹搲㜵㍢挶〲扡㝥㐲㔹搲㜵〸㍣㕣扡敥㘴㕣㝥㠳挹愱敢㘷㙣ㄹ㜷慢戸攰摥㈴㈲㈶愹戸㌸〷搸㍤㠴㙦㜴攱ㅢ〸㕦慤攰戸搹㠸㠸〳ㄵ摣㠹晡晤㠴㌳㝥㑥敤扦㄰扥〶扡㔲㌷ㅢㄱ㌱〶晥晡㜸〹㤸㙢改㉦㕣晦㕦改晦戰㙡づ户㐲ㄱ㌱㔲㌵攷戰昶㈸攱捣愸㜷て㑣㘶搶戳㈰て㑣㘶搸敢ㅤ㐸㌰搳㕥㌷㔴搵ㄵ〵晣㙤〵搳摤戴㘷㈹愶㔱㙢㔹㔹昱晤捣㘳㤹㙡戱㉤㍣〷挳㔶㍣敦づ挷㤰㝣㤹摥㑦ㄹ㡡㝦慣㍤搸〳㌵㐹愶㥦挶昸挱㜴㑦㤴㈵搳晢挰挳㘵晡捦っ㑥㕦㤸ㅣ㉥㜶挶㤶昱㉣㜴㥣㜷てㄸ㤴ㄲ〹ㄵ㑡㠷戹攷㠹敥攷愲㝢ㄱ晤愲㐲㡦〵㍡愲搰捥㙥昱㌲搱晤㕤㜴㙦愲㕦㠱捥昷㘲㌷㈵㠶挱㔹挷㍥㘰扥㐶攷〱慥㜳ㅦ㍡扦慥㥡ㅡ㠷愶昶㔴㑤㌹ㅣ扦〹㑢搵㄰㘲㄰㍢扥㍤慦攲戳㥢捦戳㥢愱摡戳ㄴ㕦晡㐲搵㤹㔰搷㡣㜰捡㑦㡥㄰㘱㜸晡昱㌵ㄸ摤昳攵㙢㤰㌲ㄴ晦戶㝣㌰㡥㥡㈴㕦敦㘳㉣攰㉢㡤戲攴㙢㈰㍣㕣扥搶㌱㉣晢挳攴昰戵て戶㡣㡦愰㙢㌷㤱挶㐵㕦昸戵挵㜳㍤ㅤ㐷戸㡥晢搲昱㔳攸㥣㉢摥㜰㕣散っ戸㍥㈸戰㐴㐷㜸戵ぢ摦㡦昰㝦㈸㌸收摤戸搸㔱挱ㅤ慡扦㈴扣挶㠵て㈷晣㙢〵挷㐴ㅡㄷ摢㈹戸㐳搷扦㘰慡ㅡ㑦㄰㜸攲摢昳摡っ扡㈶㘸捦㔲㜴ㄵ㑦愰づ㙤慢㜰㉦〹㑦㍦扡扡愳㝢扥㜴㜵㔳㠶㜷戶㡢摦搷㌸愹㝡散摡㠳㕡㘷㙥㝣昶㉣㉢㌸つ㌵㐹扡扥挷㔸㐰搷㘱㈸㑢扡〲昰㜰改晡㤱㜱㌹ち㈶㠷慥挳戱㘵晣〴ㅤづ㉦㍣㍣㡢〹愳㈰㉣ㅢ㠸㥥攵愲㡦㈰晡㔷攸㑡㍣づ㡢㠹㜲戸户㔱扣㤱敥戳㕤昷㈳改㉥昰敢㝢㘸っ捦昵㘲攲户ㅦ扣愷捡㑥戰〸换㐵捦㈴扡挲㐱攳㐹㕤㑣晣慣搰捥㤱摦〵㤶慡㜹挴㠰㉡扥㍤慦捤㘰慣㕥㝢㤶㘲捣愹慥戸㈶㕣㠸ㅥぢ㑦㍦挶扥㐷昷㝣ㄹ晢㑥ㄹ㠶摥戳换摣㙦敦㕣㔴㜳摦㥣㑢㘶搶㝦㌷愲㔷㜰㍥㙡㤲㡣㜵挷㔸挰搸㘲㤴㈵㘳晦㠶㠷换㔸ㄵ挳㜲〲㑣づ㘳㑢戰㘵㙣ぢㅤ㙥ㅢ㘶㘰摡昹㘷㐱㔴戶㈷㜸㤹ぢ㕥㑡㜰て〷㍣ㅤ攰㉦ㄴ搸㌹㐶㜶㈲昸㐴ㄷ㝣ㅣ挱㍤ㅤ昰愱〰㝦愶挰捥ㄱ搲㡢攰㤳㕣昰昱〴昷㠱捥晦㠶㈴㈵㍥㠶㜷摢㥥搰て挸慡戳攸㠳戸昲敤㜹ㄵ挷搸㘷㍡㍣㕢㝢㙥ㅥ㕢扡〶戰㜵〱㍣晤搸㝡ㅦ摤昳㘵敢㍤㘵挸昴扤慥攲㠵慦敥ㅣ㜹搱㌱㈷㉤户㕢慥㍣㉣戸〲㌵㐹戶〶㘳㉣㘰㙢ㄵ捡㤲慤㜷攰攱戲戵ㅢ挳㜴㈵㑣づ㕢㤷㘲换搸〳㍡㥥扥㈶攲搲晥つ㠰昵挹㍤㘰づ㈱晡㉡ㄷ㝤ㄹ搱㝢㈹昴㘴愰㕦㔵㘸㠷㠲扤㠹扥摡㐵㕦㑥㜴ㄸ㍡ㅣ㡤㠵摦㈱敤慣搶愴挵㑢㜰㙦攳㈰㑡昷㙢㕣昷㉢攸ㅥ㔷㡤㑤㐲㘳捦愹挶㥣攳㉢〹㑢搵慤挴㠰㉡扥㍤慦捤㘰散㌶敤搹㈱㘳㝥ㄷㅣ㜷挳搳㡦戱愷搱㍤㕦挶㥥㔲㠶摥㜷扣昷换㤱〷ㅢㄳ慦敦ㅢㅡ㍦晣搷摡昵挱搵愸㐹㌲㌶ㅣ㘳〱㘳㙢㔰㤶㡣㍤〱て㤷戱ㄱっ换㈳㌰㌹㡣㍤㠸㉤愳〶㍡㥥㠷㜰愶㐸㠸㐷㔴㕣ㅣㄲ㙡〹㝦搴㠵慦㈵㝣戴㠲攳㍣㤴㄰て㉡戸㜳㡣㡤㈵晣㌱ㄷ晥㄰攱攳ㄴㅣ搷晦〹㜱㥦㠲㍢㔱ㅦ㑦昸攳㉥晣㘱挲㈷㐲搷敥㙣㥡㄰㝦㠲㘳ㅢ戹㤳改挸捣㜸敥㕣散愹㘰㠶扣㍥㝤ち㘶捡敢摤㑥㌰㘳㕥㝢㔶㍤㡦〲晥戶㠲攲ㄷ戴㘷㈹㡡㥤扢㠷㔶㜵搷搰戶㤰㉡㕥㠱愷ㅦ挵户㘳㐸扥ㄴ摦愶っ㜷㝥昰晣㙢扦捤㔸㍥㝡昵㜶㠱ㄵ戵ぢ换扦〹扥㡥㥡㈴挵搳㌰㝥㔰晣㌶捡㤲攲㕢攰攱㔲㍣㠳挱昹〰㈶㠷攲㜷戰㘵ㅣ〶ㅤ愶搰㐳戱㑣㜹㈳戰㍡㙣〱昳〸㠲搷戹攰㜷〹㥥改㠰愷〳㝣慤〲㍢昴捥㈲昸㐳ㄷ晣ㅥ挱ㄶ㜴晥戳㘲㔲㕣〹㙦ㅤ晡㠰㤹愵昷㐷慥昷晢昴戶㥤愶㘶愰愹㑢㔵㔳捥慥㌱㠷㘰㈶挹敢慥ち㈶换扢っ㌳㘹摥㘵㤸挹昳扡㤹慡㉦㔱挰摦㔶㌰晣㤵昶㉣挵戰㌳㈷ㄴ㑦〷㤸㜶扦㠵愷ㅦ挳㉢㌰㈴㕦㠶㉦㔶㠶㤵㔳㝥㍥敤㥢搳捥愹㔹晢摡㑢晢㤵摦扦换㑤挱敦㔱㤳㘴戸〱攳〷挳㍦愱㉣ㄹ扥㄰ㅥ㉥挳㑤っ捥㙦㌰㌹っ晦㡣㉤攳㔸攸㑡㑣㡤㈹㜱㉥扣㜵㠴〲㘶ぢ摤㌷扡敥ㅢ攸㍥ㅦ㍡捥摡㤳㜰㉡㍣ㄳ㘸ㅤ改㠰戹㤰攸㌲㍣㑡㜴ㅡ晢㠵攸挵ち㍤ㄱ攸搳ㄴ摡搹㐵㤶ㄲ㉤㕣昴慦㐴ㅦ慦搰㤳㠱㕥慥搰捥昴戲っ㤶慡慥㐰〳戶ㄵ㡣㌱㙤㕥㝡㜶挸㤸摦戴扢㉤㍣晤ㄸ㍢ㅥ摤昳㘵散㌸㘵㌸攳摣〷捥㍦㌹扣㘰搴戹㜳㐲搷㝥戳捥っ〴㝢愰㈶挹搸愹ㄸぢㄸ敢㠹戲㘴㙣〹㍣㕣挶㑥㘷㔸晡挲攴〴㤱戹昴挶敦愱攳戴㡢㍢㝡㉣㠲愹戸㌸㔱㍣㡢昰㝥㉥扣ㄷ攱攷㈸㌸㙥戱戱昶愵攰㑥ㄸ捦㈳扣扦ぢ㘷㑥扤㜱㠱㠲㘳〱㈰㉤ㅡㄵ摣㌹戶㉥㈲㝣㠰ぢ敦㐳昸ち攸㑡㉤〰愴挵搱昰㙦摢㝦㔶〲㕢㌵㠴㕥㕢挵ㅡ㔳攵户㡥戵㌰㍣晤㔸戳搱㍤㕦搶㜲捡㜰挸捦捦㕣㝡昱㈱晤づ㕣昳㑤㜴晡搲㍥㠳㍢〵攳愸㐹戲㜶〵挶〲搶搲㈸㑢搶㌲昰㜰㔹扢㡡㠱㘲摥戸挳ㅡ昳攷㡤㙢愰昳捦〵㠸㠸愳ち挲㜴ㅤ扤㐷戸摥晢搲晢〶攸挸㌹ㅥ敥㐷挴攱㠰敢改㉤㘰摥㐴㜸戵ぢ㘷㕡扤昱㐷〵挷挳晤㠸㤸慥攰捥㉥㜲㉢攱㌵㉥㝣㌸攱户㉢㌸㌲つ㈲攲㄰〵㜷㌸扦ㄳ愶慡昱〴㙤ㄵ㘷㑣㡥敦㤰㌳扤搴愹敦搰㥤晦㤱愷㜳㌰㍣晤㌸㥢㠸敥昹㜲㌶㐱ㄹ摥摣㙤昹挲攳愶㕡ㄳ㙦㔹㔳㍦昷扢搳〶晤ㄴ㥣㠶㥡㈴㘷慢㌱ㄶ㜰㜶ㄸ捡㤲戳〳攱攱㜲㜶㍦攳挲㥣㜱㠷㌳㘶捣ㅢ㙢㔴㕣㜰〹㠲挵慣㠲戸慣㈵㝣㤶ぢ㍦㠲昰㠷愱㙢㜷〹㠲㘵㉤㌸戶ㅤ〴㡦搲㜱戶敢挸ㅣ㝡攳㜱搵づ㉥愴㈲㘲㝦搵㡥㜳㠸㍥㐹戸攵挲㘷ㄲ晥戴㠲攳㐲㉡㈲昶㔱㜰㠷摤㍦挳㔴㌵㡦愰慤愲㡢㤹昰ㅤ搲㔵㜲愹昳㔸㜸晡搱ㄵ㐷昷㝣改㡡㈹挳㕥㘳〶㡥愹昸㍣㍥㝡攵㤲㈱摢㥦昰㐳捦㑣挵㝣搴攴㥢㑡捣㙦㡦㙥ㄹ㔶㡢ㅦ㤷㙦攵㜷㤹摢㉤㔲㔱㠵㠱㔶攴昹挵搳㕤昳㡥㥡㜹敦昸晥昵扡晡晡㕡㝥晦㝡户晣㐴慢㜹㥥摤㍣愱慥搱㙥改㤶㥦㔲搷愰扥挷㝡㔴昷㍣㝦㥣晥愰收愶〵㜵㌹扢搹㤴㈵㍡ㅢ昹挹捤㔰㜴挹㡦㙢㤹搶㘲攷㉡ㅢづ戲㕡㕢敤收挶ㅥ㥥敦慦ㅥ㌲戹ㄱ㍤㐱捡㝡㙥愰㔷㥢㉦㑥攸㥦㙡㘵敡敤ㅤぢ㈰㌵搹搶扡〵㌶っ㍤ぢ搴㘳㥡戲昳㕢㔴㜶㜹愱愵㈶户挰㙡捣摡戹㠹㑤㌹㝣〵㝢㘷晥挰ㅡ㕥㥤㍡〹㔱㔶敥晢㍤敥晣㠲㜶摦ㄴ㜳㌶搸㌲慣㉤ㅥㄳ敡㕡㕡㤹捣㕦㕥㕥㈹捡户㔷挹散愳ㄷ搸㡤慤〷㔸㡤戹㝡扢戹户㑦㠲扢捣㙥愷愷愰慢昱㈲㜶㌹敦㙦て攴㘰㘹慥换捣㙦慤㙢㙡散㉣㈲愰搹昹戰搸㠹㘵ㅢ〱挷慢ㅣ㍦〴〶ㅦ攳慦㄰㥤㤰ㄸ㉥㍦昰〲ㄱ㌰㕦㠱挶㝣ㅤ㄰㈹捡㉡ㄶ㘲㔷㈸ㅥ㈰扦㕤㥦扦㌲〵㙢㕤慥㜵慥㌱搷慥㥢㌳户ㄵ摦愲摦㤵愳搶慦捥㑢攱摡㔱㜶㍥㘷户㉥つ戳慣收㘶㙢㜱㘵挳慣㝡扢㜱㑥敢摣捡㔹ぢ昰㘱〴昴ㅢ捥㤵㤵㤵收㙢攸て㥢攲㕢㉣㠳㤲戵㥡㝦昳㙡㤹㉡㉦戵慦㝢戵捣㘳㤷摡㌷㤴㤶晤ㄲ捣敥收摥㙤扣〹㙤改㤰敤敥ㅢ戲户攱㘳扣〳㔱ㄸ戲㜷愱昱㠴㑣㌰㐹㥣㘱搳㉦挱㍣㜰搹㤵昷㠱㜴〷戳㔲㙢㍦昰㙡㉦搳摡㜵㕥敤㔵㕡晢愱搲戲㙥挱㈴㘶㌹㤸㡦愰㉤㍤㤸扥扥㠳㔹てㅦ攳ㄳ㠸挲挱㝣ち㡤㜷㌰捣㠵㉥ㄸ捣慤扡㉢㝦〷搲ㅤっ戳㤸攵㄰㍦㔷㕡搹㐱㈶㉢㑢敤㍦扣搸晢戵昶ぢ慦昶㘱㘸攵㘰扥㠴戶昴㘰㜶昰ㅤ捣搷昰㌱晥〹㔱㌸㤸㝦㐱攳ㅤ捣愳㘸愳㘰㌰㑣改㤵ㅤ晣ㄶ㐸㜷㌰捣摣㤵摡㝦㝢戵捦㙢敤㝦㤴㔶づ㤱㠹户ㄲ晢㥤ㄷ晢㍡戴㜲㌰摦㐳㕢㝡㌰〱摦挱晣〸ㅦ攳扦㄰㠵㠳昹〹ㅡ敦㘰摥㐴ㅢ〵㠳㜹㔷㜷㘵〳㤰敥㘰搶㘹敤㉦㕥㉤搳㑥㘵户㝦㔵㕡㌹ㄸ㘶㤷㑡敤㙦㕥㉣㜳㉥攵㘰㌶㐲㕢㝡㌰㘵扥㠳ㄱ〱っ愶ㅣ愲㜰㌰㥤愰昱づ㠶愹㥢〵㠳㘱㌶愶散㑡〵㤰ㅣ㡣散攰㡦㕡㙢㈸㉤㉤㘲㠳搶㜶昱㙡㌷㙡㙤愵㔷㕢㠱㤵㕥㌹ㄸㄳ摡搲㠳昹攱㝢扦㌹戳㉢㝣㡣㙥㄰㠵㠳改づ㡤㜷㌰㕤搰㐶挱㘰扡㐲㈱〷㔳〵愴换㑣㤵搶〶扤摡敤戵㜶㕢慦㜶㈷慤摤㑥㘹㘵㌸晡㐰㉢〷戳㍤戴愵〷昳㤵敦㘰㝡挰挷搸ㄱ愲㜰㌰㍢㐱攳ㅤ㑣㍦戴㔱㌰㤸㕤㜴㔷㝡〲改づ㘶㌷慤摤搹慢ㅤ愲戵扤扣摡扤戵戶户搲捡挱挴愱㤵㠳改〳㙤改挱㝣散㍢㤸㝥昰㌱晡㐳ㄴづ㘶〰㌴摥挱㈴搱㐶挱㘰昶搵㕤搹〵㐸㜷㌰㈳戴㜶㤰㔷㕢慢戵㠳㤵㔶㜶㝢慣搶敥敡挵㑥㠴㔶づ㘶㌷㘸㑢て收㉤摦挱散〱ㅦ㘳㑦㠸挲挱っ㠱挶㍢㤸挹㘸愳㘰㌰㔳㜴㔷昶〲搲ㅤ捣っ慤ㅤ收搵ㅥ愱戵㝢㝢戵戳戴㌶愴戴㜲㠸㌶戴㜲㌰㘱㘸㑢て收㈵摦挱㐴攱㘳挴㈰ち〷ㄳ㠷挶㍢㤸㌹㘸愳㘰㌰昳㜴㔷㤲㐰扡㠳㘹搲摡㤴搲捡づ戶㘸㙤摡㡢㕤愸戵晢㜸戵挷㐳㉢〷戳㉦戴愵〷昳㤴敦㘰㠶挳挷搸ㅦ愲㜰㌰㈳愰昱づ㘶ㄹ摡㈸ㄸ捣挹扡㉢㌵㐰扡㠳㌹㕤㙢㐷㝡戵㘷㘹㙤慤㔷㝢㥥搶㡥㔲㕡㌹昰ㄵ搰捡挱㡣㠶戶昴㘰ㅥ昴ㅤ捣㔸昸ㄸ〷㐰ㄴづ㘶ㅣ㌴摥挱慣㐴ㅢ〵㠳戹㑣㜷㘵㍣㤰ㅣ㡣散捡㔵㕡㍢㐱㘹㘹ㄱ搷㘹敤㐴慦昶㈶慤㥤攴搵㌲慦㐲づ㘶㌲戴愵〷㜳㤷敦㘰づ㠶㡦㜱〸㐴攱㘰愶㐰攳ㅤ捣㥤㘸愳㘰㌰昷攸慥㑣〳搲㘵收㝥慤㥤敥搵慥搵摡ㄹ㑡㉢〷晥愸搶ㅥ敡挵㌲㜵㐰づ收㌰㘸㑢て收㐶摦挱ㅣ〱ㅦ攳㐸㠸挲挱捣㠴挶㍢㤸㍦愳㡤㠲挱㍣慦扢㌲ぢ㐸㜷㌰㉦㙢敤㙣慦昶㌵慤戵㤴㔶づ收㑤慤捤㜸戱㝣慥㉥〷㤳㠵戶昴㘰㉥昷ㅤ㡣つㅦ㈳て㔱㌸㤸㌹搰㜸〷戳づ㙤ㄴっ㘶扤敥㑡ㅤ㤰敥㙥昶㜷慤㍤㕡㘹攵㙥昶愵搶捥昳㙡晦愵戵昵㕥㉤㥦㍡换挱㌴㐰㕢㝡㌰ㄷ晡づ愶〹㍥挶㌱㄰㠵㠳㌹ㄶㅡ敦㘰㝥㐴ㅢ〵㠳搹愰扢搲〲愴换捣㐶慤㙤㔵㕡挹㐱㈷㕣㘶挹慢㠵昹㕥㙣ㄷ慤㕤攰搵㜶㠷㔶づ㘶㈱戴愵〷㜳㠶敦㘰ㄶ挳挷㔸〲㔱㌸㤸愵搰㜸〷㔳㠵㌶ち〶戳扤敥捡昱㐰扡㠳搹㐹㙢㑦昰㙡㝢㘹敤㌲慦戶㥦搶㥥愸戴㜲攰㠳愱㤵㠳㌹〹摡搲㠳㌹挱㜷㌰㈷挳挷㌸〵愲㜰㌰愷㐲攳ㅤ捣㙥㘸愳㘰㌰㐳㜴㔷㑥〷搲ㅤ捣摥㕡㝢㠶㔷ㅢ搵摡摦㉢慤散㜶㔲㙢捦昴㘲㠷㐳㉢〷㜳ㄶ戴愵〷搳敡㍢㤸㜳攰㘳㥣ぢ㔱㌸㤸昳愰昱づ㘶〴摡㈸ㄸ㑣慤敥捡〵㐰扡㠳ㄹ慢戵ㄷ㝡戵攳戵昶㈲慦㜶戲搶㕥慣戴㜲㠸搳愰㤵㠳㔹〱㙤改挱ㅣ敤㍢㤸㤵昰㌱㉥㠱㈸ㅣ捣㉡㘸扣㠳㤹㠱㌶ち〶㜳㠴敥捡㘵㐰扡㠳㤹愵戵㤷㝢戵㔹慤扤㐲㘹㘵户攷㘸敤㤵㕥㙣〳戴㜲㌰㔷㐱㕢㝡㌰戳㝤〷㜳つ㝣㡣㙢㈱ち〷㜳ㅤ㌴摥挱㌴愱㡤㠲挱戴攸慥摣〰㈴〷㈳㍢戸㔰㙢㙦㔴㕡㕡挴㔲慤扤挹慢㕤愶戵㌷㝢戵愷㐲㉢〷昳㐷㘸㑢て㘶扡敦㘰㙥㠵㡦㜱ㅢ㐴攱㘰㙥㠷挶㍢㤸搳搱㐶挱㘰捥搲㕤戹ㄳ㐸㤷㤹昳戴昶㉥慦昶㈲慤扤摢慢㕤愹戵㝦㔲㕡ㄹ㡥㉢愰㤵㠳戹〷摡搲㠳㤹攰㍢㤸搵昰㌱敥㠳㈸ㅣ捣晤搰㜸〷㜳ㄵ摡㈸ㄸ捣㜵扡㉢㙢㠰㜴㤹戹㐹㙢ㅦ㔴㕡挹捣慤㕡扢搶慢扤㔳㙢ㅦ昲㙡戹搴㉤〷昳㌰戴愵〷㌳搲㜷㌰㡦挲挷㜸っ愲㜰㌰㡦㐳攳ㅤ捣晤㘸愳㘰㌰㙢㜵㔷㥥〴搲㘵收㔱慤㝤㑡㘹㘵戴㥦搴摡愷扤搸㍦㙢敤㌳ㅥ㙤挵换搰㙥昶㜲㈶扦㕡㘲㝢㉣晣搶摢㔸㘶㙤㙡ㅣ㘹戵搸㐳敡戱㈴搹愹挳愵㑣慥㘴㥡㝦㐶愳㠲㙢㤰慣挳晣㡢愷ぢ㔵慦㈹㙤㈵搷つ慢戸〲㐸㡣㔳攲捡㕦㕢㠹㉢㝥戲〴㝢㤹攰慡ㅤ扢㙦㍥换扡摦㔵㌶昳㌹㙦摤㕣㤸㙢昳攷㠲㕣㕢㘹㕤㐱㠹ぢ㜰㙤㜵慦㐷㐹搶晤㍣敢收摡ㄹ㙤收ぢ摥扡晦慥㍤㘴扦戹㍥收晡㔷㜱㕤慣慤㈵慥㠷戹㈵挱㌵㉤㔹昷㡢慣晢㕦捡㘶扥攴慤㥢换㔶慥㐷ㄵ㤷慢摡㑡晦搱㈵㐶愱㡡换㔳慥㑤晣㠸㤲慣晢㘵搶捤㤵㈵摡捣扦㝡敢摥攰昵愸攲敡㤱敢㕦挵㔵㈳㔹㤲㜵㜳戵挸戵〹㠱㑡㘴摤慦戰敥㑥ㄴ慣晢㔵㙦摤ㄵ㑡㡢敢ㅦ昴捤搰㈵ㄹ愱㉥〵愵㑡㙦㐹㜴㐵㐹搶晤ㅡ搵摤㤵捤晣ㅢ㌶昴捥㕥㔵愵戴捥㥥ㄱ㉣㈸㙤㕢㔰摡㑥㤷搸ぢ搱〳㈵㔹昷敢㔴敦愴㙣收ㅢ搸㜰敢敥愹戴㑥摤㕣敡㜰挷㕤搵慢愰挴愵つ㌷㐲愲ㅦ㑡戲敥㌷愹ㅥ愰㙣收㕢搸㜰敢摥㐵㘹㥤扡戹昲搰㔶昷㘰㕤㤲昱摡㔵㤷ㄸ㉦戱〷㑡戲敥户愹ㅥ愲㙣收㍢搸㜰敢摥㑢㘹㥤扡戹㄰搰㔶昷摥〵愵㤰㉥挹㤸㐴㔱㤲㜵扦㑢㜵㕣搹捣昷戰攱搶㥤㔴㕡愷㙥摥㤷扢攳慥㑡敢㤲㘴㜶ㅦ㙦㐹っ㐷㐹搶晤㍥搵㈳㤴捤晣〰ㅢ㙥摤㌵㑡敢搴捤摢攴戶㝥搷ㄶ㤴㜸㕢散戶㉢挶愲㈴敢㕥㐷昵㌸㘵㌳㍦挴㠶㕢昷㜸愵㜵昶㐱摥戵戶搵㍤戱愰挴扢㔴搷㈶づ㐶㐹搶晤ㄱ搵㔳㤴捤晣ㄸㅢ㙥摤搳㤴搶改㌷㙦㈲㕤晦慡ㄹ扡㈴戹攴㑤愳㙢ㄳ㐷愰㈴敢㕥㑦昵㑣㘵㌳㍦挱㠶㕢昷㉣愵㜵敡收㍤㥤敢㕦㘵改㤲慣㥢昷㜰慥㑤搸㈸挹扡㍦愵㝡㡥戲㤹㥦㘱挳慤扢㑥㘹㥤㤸昰ㄶ换昵慦㥡㔷㔰攲㉤㤵㙢ㄳ㑤㈸挹扡晦㑥昵戱捡㘶㝥㡥つ户敥ㄶ愵㜵晡捤㍢ㅥ改㉦㝢㍡㕦㤷攴㝥挲㍢㥣戶扡ㄷ愳㈴敢晥〷搵㑢㤵捤晣〲ㅢ㙥摤挷㉢慤㔳㌷㙦㐰㕣晦慡㘵〵㈵摥㜰戸敤㡡㤳㔱㤲㜵㝦㐹昵愹捡㘶㝥㠵つ户敥搳㤵搶愹晢㡣㠲搲敦㜵㐹㡥㠲搷晦㙥扢攲ㅣ㤴㘴摤㕦㔳㝤㥥戲㤹晦挴㠶㕢昷〵㑡敢搴捤换㜳搷扦敡愲㠲ㄲ㉦挷摢晡扤ㄲ㈵㔹昷扦愸㕥愵㙣收㌷搸㜰敢扥㑣㘹㥤扡㜹戵摣㔶昷ㄵ扡㈴晢捤慢㘳搷㈶慥㐱㐹搶晤㉤搵搷㈹㥢昹㙦㙣戸㜵摦愰戴捥㝥㜲愳㉥㐹昶㙥㉡㈸摤散㉤㠹㕢㔱㤲㜵晦㠷敡摢㤵捤晣づㅢ㙥摤㜷㉡慤搳敦扢ち㑡㜷ㄷ㤴晥愴㑢ㅣ㠵㔸㡤㤲慣晢㝢慡敦㔷㌶昳〷㙣戸㜵慦㔱㕡愷摦扣戴㜳挷㕤戵戶愰挴㑢㌹搷㈶ㅥ㐵㐹搶晤㈳搵㡦㉢㥢昹㕦㙣戸㜵㍦愹戴㑥扦㜹愵㈵晤㘵㠴㥦搶㈵ㄹ愱㘷扣㈵昱㘷㔵㌲㝦挲㠶㝥〵晦㠲㠲捣㤸昸ㄹㅢ收〶㠸敥摢㠸㘷昱ㅦ㉢㌵㝦挱㠶㝥〵㜹㈵㈳愱扦㘲挳晣つ〲搰攷昱㥦㠴㙥挴㠶㝥〵㜹㘱㈲愱㘵㕤〱ㄵ㄰㠰扥愸愱攵㈸敢㔷㤰搷ㄹㄲ摡㠹搰捥づ昴㘵つ慤昰㐲晦慡愱〶愱㕤ㅣ攸㉢ㅡ㕡改㠵扥慡愱㈶愱晣㔹㝡㜴攰㌵つ敤敡㠵昲愴㉥㍢搰㡤搰敥づ昴㜵つ摤挶ぢ攵㌹㕡㐲慢〸つ㍡搰㌷㌵㜴㕢㉦㤴愷㕣〹摤㡥搰敤ㅤ攸摢ㅡ扡㠳ㄷ捡㌳愸㠴昶㈰㜴㐷〷晡慥㠶敥攴㠵昲㠴㈸愱扦㈳戴愷〳㝤㕦㐳㜷昶㐲㜹㝥㤳搰㕥㠴昶㜶愰敢㌴戴㡦ㄷ捡搳㤵㠴昶㈵戴㥦〳㤵㘷ㅤ戰㘴昶昷㐲㜹昶㤱搰〱㠴づ㜴愰昲㈴㐲攸㉥㕥㈸㑦㈶ㄲ㍡㠸搰挱づ㔴㥥ㄳ〸摤搵ぢ攵戹㐱㐲㜷㈳㜴㜷〷㉡愷㜸㐲昷昰㐲㌹搵㑢攸㥥㠴づ㜱愰㜲挶㈶㜴愸ㄷ捡㤹㕢㐲昷㈲㜴㤸〳㤵ㄳ㌰愱㝢㝢愱㥣㠸㈵㌴㐴㘸搸㠱捡昹㤴搰㠸ㄷ捡㜹㔵㐲愳㠴挶ㅣ愸㥣ㅥ〹㡤㝢愱㥣㈶㈵㌴㐱㘸搲㠱捡搹㡥搰㤴ㄷ捡㔹㑦㐲搳㠴敥攳㐰攵攴㐵攸扥㕥㈸㈷㌱〹摤㡦搰攱づ㔴捥㐵㠴敥敦㠵㜲㑥㤲搰ㄱ㠴㔶㍢㔰㌹戵㄰㕡攳㠵㜲㡡㤱搰㤱㠴搶㑡㘸㤰㌳〵㤵摤㠳㠲搳㠳捣愴㝡攸㍢㈷㤳㑡㠲㐷〳㈷㌸㘹㐸搳㠳捡㌴ㄲ㉥㤵愲㉣挸搹㐳戹㜳捡㤰㤸㌵㕥昷〳攸捥㠹㐴㥡敥㉦㜲攷㡣愲摣㌹㡤㐸捣㝤㕥昷昱㜴攷攴㈲㑤昷ㄶ戹㜳㤶㔱敥㥣㕡㈴收ㅥ慦晢㈴扡㜳挲㤱愶扢㡢摣㌹昳㈸㜷㑥㌷ㄲ㜳㤷搷晤㘰扡㜳ㄲ㤲愶㍢㡡摣㌹ㅢ㈹㜷㑥㐱ㄲ㜳扢搷㝤㉡摤㌹㌱㐹搳慤㐵敥㥣愱㤴㍢愷㈵㠹戹挵敢㍥㠳敥㥣慣愴改收㈲㜷捥㕡捡㥤㔳㤵挴摣攴㜵㍦㥣敥㥣挰愴改㠶㈲㜷捥㘴捡㥤搳㤷挴㕣敦㜵㥦㐹㜷㑥㙡搲㜴㙤㤱㍢㘷㌷攵捥㈹㑤㘲慥昱扡捦愶㍢㈷㍡㘹扡慡挸㥤㌳㥥㜲攷㌴㈷㌱㔷㝡摤戳㜴攷攴㈷㑤㤷ㄷ戹㜳ㄶ㔴敥㥣晡㈴收㌲慦㝢㥥敥㥣㄰愵㘹㔵㤱㍢㘷㐶攵捥改㔰㘲㉥昱扡搷搱㥤㤳愴㌴晤愱挸扤㝦㥢㍢愷㐸㠹㔹攱㜵慦愷㍢㈷㑥㘹扡愸挸㥤㌳愸㙡㥤搳愶挴㕣攸㜵㙦愲㍢㈷㔳㘹㍡扦挸㥤戳慡㜲攷㔴㉡㌱攷㜹摤㥢改捥〹㔶㥡捥㈹㜲攷㑣慢摣㌹扤㑡捣搹㕥昷昹㜴攷愴㉢㑤㘷ㄶ戹㜳昶㔵敥㥣㜲㈵收昷㕥昷㐵㜴攷㐴㉣㑤愷ㄷ戹㜳㐶㔶敥㥣㠶㈵收㌴慦晢㔲扡㜳㜲㤶愶㔳㡡摣㌹㑢㉢㜷㑥捤ㄲ㜳戲搷晤〴扡㜳挲㤶愶㤳㡡摣㌹㜳㉢㜷㑥搷ㄲ㜳愲搷晤㈴扡㜳ㄲ㤷愶ㄳ㡡摣㌹㥢㉢㜷㑥攱ㄲ㜳扣搷晤ㄴ扡㜳㘲㤷愶愵㐵敥㥣攱㤵㍢愷㜵㠹㔹攲㜵㍦㥤敥㥣散愵㘹㔱㤱㍢㘷㝤攵捥愹㕥㘲ㄶ㝡摤捦愴㍢㑦〰搲㌴扦挸㥤㘷〲攵捥改㕦㘲㕡扤敥攷搰㥤㈷〵㘹㙡㉥㜴ㄷ㍣ぢ昰慡㌵㈰㌸愱㍢㕢㥣㥢㥤㉤㑥戳捥ㄶ㘷㑣㘷㡢㤳㥦戳挵㜹捣搹攲㤴攴㙣㜱㜶㜱戶㌸㔱㌸㕢㍣收㥤㉤ㅥ扥捥ㄶ㡦㐴㘷㡢〷㤵戳挵攳挳搹攲慥敥㙣㜱慦㜵戶戸〳㍡㕢摣㤷㥣㉤敥ㄶ捥ㄶㄹ㜶戶㐸㤶戳挵戸㍢㕢っ愱戳挵㘸挸慤慥晦て㔲㘲ㅤ摥</t>
  </si>
  <si>
    <t>㜸〱敤扤〷㤸㔴㐵ㄶ㌶㍣〵捣㘵敥㄰愶挵㥣〷㐵㔱㔱散敥改㥥敥㔱㤱㡣愲〸〸㠸㘲挲㥥づ㌰㌸〱㘷㠶㘴挴慣㤸ㄱㄳ〶捣㌹愷㌵㠰愰㘰㡥㙢㕥攳慥扢挶㜵捤㌹挰昷扥愷慡㙥摦㑥〳晡㉤捦扦捦晦㝣捤昴攱㥥㔸愷捥愹慡㝢敢昶戹摤㘵慡慣慣㙣ㄵ㕥晣㥦慦㉥㍣搸㙣晣㥣戶昶㜴㔳晦愱㉤㡤㡤改㘴㝢㐳㑢㜳㕢晦挱慤慤㠹㌹愳ㅡ摡摡㍢㐳挰㤹摣〰㝥㕢昹攴戶㠶㈳搳ㄵ㤳㘷愶㕢摢㈰㔴㕥㔶㔶㔱攱㜶〲㝦㘳昳づ㔸挴愵㤶摢㠵〰㔲㘵慥㐳搰㤵愰㠲挰㈵愸㈴攸㐶搰㥤愰〷㐱㑦㠲㉡㠲〰挱㍡〴扤〸搶㈵㔸㡦㘰㝤㠲つ〸㌶㈴搸㠸㠰敤扢㥢㄰㙣ち搰㝤㌳㠰〹㐳㠷㡣愹㥦㠶摥㡣㙦㙦㘹㑤敦㔸㍤㔱晢㍣㈰ㄴ敡ㅦ敡㕦ㄳ慦愹改ㅦ摣戱㝡攸㡣挶昶ㄹ慤改〱捤改ㄹ敤慤㠹挶ㅤ慢挷捥愸㙦㙣㐸敥㥤㥥㌳愱攵昰㜴昳㠰㜴㝤戰愶㍥ㄱ㠹㠷㈲搱㘸愶慥㉥摥㝤㜳㔸ㅥ㍤㜴挸搸搶㜴愶敤扦㘵㜳ぢ摡ㅣ㌳㜴㐸晦搱改昶晦㤶捤㉤㘱ㄳ㈶㠷戵㌴㈵ㅡ㥡晦㑢㐶换㤹搳㥡㘱改㘴〳㤳㥦㑥户㌶㌴㑦改て户㜳〲つ㉣搶㝦〴㈲㥥㑣戴戵て㑤㌷㌶㡥㑢㘷㤸昷敥㑤㡣㔹扡㌵摤㥣㑣户昵㙣ㅡ㍥㍢㤹㙥㌴散戶㡡愶㠹㠹搶搱㠹愶㜴ㄷㅥ㔴㌵改扣㡤㑣愵㥢摢ㅢ摡攷昴㘸摡慦㉤㍤㉥搱㍣㈵㑤㤱昲愶㍤㘶㌴愴扡㜴㔱㕤扡㤴㜵敥㕢捣ㄹ挹㑤晦ㄱ慤挹愱㔳ㄳ慤敤㠲㌱㙢愱㘲戲扥ㄱ㈲㡥攷戸挵㔱㔴㥤愷挵㌴㡤㙦㘸摡㍢摤摡㥣㙥㘴㈳㑣㕥扦㍣㈱㠹㠹づ扤ㄷㅣ摢ㅢ㈶㐶㜵㌳昳㡤㕤㘱㉢㙥㌵㐱㙦〰㘷㉢㠰挰㠰慤㠶㡥慤摥愹㝡慢敡㙤慢晢っ敤ㄳ㡡戹㕢㤳摦〷㐰㜵㜹ㅢ㤳搷慦捦〹搴㘹㜲愲搳攴晡㑥㤳㤳㥤㈶愷㍡㑤㑥㜷㥡㥣改㌴㜹㑡愷挹㔳㍢㑤㙥攸㌴㜹㕡愷挹㠷㐳挶扥㉡扡㜶敤㘴㕥搳㑥戸扥敦戳つ晦ㄹ戶攴㠰摤㝦㔲搵挷㈴ㄴ攷慢㑣摣㙤㜱攰昶〵㜰戶〳挸昷㈷攴㙥㑦晥づ〰㑡扤〶㝦攸搳㥥ㅦ敦㜰攳愰攵攳㠶㥤㍤晣挳㥦晡㉣㑡ㅦ愷㌸敦挵搸㡥ㄴ摥〹挰改て㤰㙦㉣散敥㑣㝥㄰㐰愹ㄷ㡤戱户挶〷㌷㕦㜹摡敦㐳㙥㍤攵搴㔳㔷㙣搳昷㤶㜲慥ㅦ搱㘲㘱捥捦攰攰戶戶ㄹ㑤搳戹㠴㤹搱㈵敢㑤搳戰戶昶戱㠹搶愶戶晦敥㌰挴㈰㕣摤㌸ㅣ摣搶戴昶挷㈱ㅡ昹慦㡣㐳㈷㡣㌰㙦㍢愱戵〱戳㙤㐶㘳愲㜵挷㝤ㅡ㥡〷㠴愳㍢㡥㙡㌸㍣摤搸㤰㙥㙢ㅦ㄰つ敥戸㑦㘲昶㠰㔰㌰攸搶㌰㙤ㄱ〰㈷ち戰挱㠰慤㈶搶㌷㔶て㙤㘹㙢㙦换づ摤㕡户㤶㔲㌱〰愵㥥㌲挹ㅤ扡摥挴ㄵ攳㝥晤㜶昰挲㥤攷戶㉤㤸㌹晢慦㡡敢㠳㡣㤴㍡ち敦〲攰散ち㤰㍦㔲㈲敥㙥攴て〰㔰敡㌱㘳㉣㜰昷挵扤戶昸㘵搹攸㝢㍦㑣㍥㜶㝡戴㜹㠹㘲扥挵搸㐰ちて〲㜰〶〳攴ㅢ慢㜳㠷㤰㍦ㄴ㐰愹挵挶搸攷㥦㥥晣㜴攷捥㙦散㜹昵㌷ㄷ戴晦晢晣㤷㉦㔴㍣㑦㠹戱攱ㄴㅥ〱攰散〱㔰㤵㍢㐱㙢摤㍤挹ㅥ〹愰搴晤挶搶㌱愳づ摥攷挳㌱㠳昷扡昷㠶㔵㍢慦摣昰晢敥㡡愷㍢づ㘳㘷㙦㠰㙤㍡ち㜲㑤㔴㠲ㅣ㠹扡愳㈰敡敥㐳愵搱〰ㅢㄶ㡤㜱愸捥ㅤ㐳戱戱〰㑡摤㘱㥡摦昸㤴搷慡扡ㅥ㝦改挸搳㘳慢敥扥敤㡡改搵㡡敢㠴㜴㘵ㅣ㠵挷〳㌸ㄳ〰昲攳ㄲ㜴昷㈳㝦㈲㠰㔲㌷ㄹ㘳㍦㡣晡㙣昸换ㅢ㝣㍡敡搲戱㌷㕣昱敦晢〶捥㔴㍣㘱㑢㕦づ挰挱ㅡ昵㈵攸㑥愲摤〳愹㜸㄰㐰昱扥㠴㠳敥挱ㄴ㍢〴㐰愹慢㑤昳捦扦扣挹愸搷ㄶ㥤㍢敡昶㡦ㄶ扤晥搶㈵㌷㤵㈹㕥㉡㐸㕦㈶㔳昸㌰〰㈷〱㤰搷㤷㜰搸慤㈷㍦〹愰搴㘵挶搸㜷㈷慥㔸㜲摣㙢昷つ㜹愸搳戴㡦ㅥ㜲攳愷㈸㕥㜲㠸戱㌴㠵㌳〰捥ㄴ㠰㍣㘳愱㕡㜷㉡昹つ〰㑡㕤㘸㡣晤扡㜴捣扡㘵挱挷昷㕥㌲攴㥥搱㥦㤷捦戸㐵昱搲㐵〲挳㈵㜷㡤〲ㄳ㜵ㅢ㘹户㠹㡡捤〰挵〳ㄳ㡡扢㉤ㄴ㥢づ愰搴㌹愶昹㕢て摥㍣扡挷〷㑢昷戸晣摥㜱戵攳㑦㌹㝥㝤挵㡢㈶改㑢㉢㠵摢〰㥣㜶㠰晣扥搴戸㌳挸㥦〹愰搴改挶搸捣敤㍥ㅡ㌴晡挸愵挳敥扡晢愹敤㕥晣敡挱攳ㄴ㉦扥挴搸㙣ち捦〱㜰㡥〴挸㌳ㄶづ戹㐷㤱㝦㌴㠰㔲㈷ㅡ㘳捤㝤㠳㍢㕣摡㍥㘵挴ㅤ搷敥昸挸㤷敢ㅥ摢㔳昱㈲㑥㡣ㅤ㑢攱攳〰㥣戹〰昹挶㠲敥昱攴㥦〰愰搴㌱挶㔸㕢㜴㡢㘱㡢ㄷ扡愳慥㜹昸挹晤㘶㡤㡣ㅥ慥㜸㌱㈸挶㑥愲昰挹〰捥㈹〰㜹搳㌲收㥥㑡昶㘹〰㑡捤㌲戶戶㝥收搵敤て㝦㜶挰挸㌳昷晤攱捣㔳慦㕤㜱慤攲㌵愵搸㥡㐷攱㌳〰㥣㌳〱昲ㅣぢ㐵摤戳挸㍦ㅢ㐰愹㈳㡣戱㠵㤳㔶㌵㝦晢㜲捦挱㜷昴㌹㙤攷昹㕦㜴㕥愹㜸㙤㉡改㍦ㄷ〷ㅤ㉥愴㌱㍤挷戹㤰㥥㐷挳昳愹㜹㍥㐰昱㠵㌴敥㉥愰搴〵〰㑡㑤㌳捤㥦㍦㘲昰㠴㤹ㅦ敥㌴攴扡㐹愹扢づ㙣㥢扣戹攲㔵戱昴攵㈲ち㕦っ攰㕣〲㤰ㄷ㤷㍡㜷㈱搹㤷〲㈸㤵㌲戶敥㜸敢㤹㠵ㅦ㝤㜲晡摥㔷㝤㜲摤摣㙥摢㑥ㅣ慢㜸㜱㉤㕤戹ㅣ〷㝤昳㤶㉢㜸㥦㍤㈷愰て晡愴㄰つ扡㔷搰昲㈲慡㕥〹戰搱㠰慤㐶㌴捣㑥愷攴戴㤰㍤㉢㠴㠲敥㔵㤴扢ㅡ㐰愹㐳㡣〷㜳㡦敦㜴攱㍢晢㍥㌲晣戴㝦㙤戴㘰攲挳㠹愷搵㐶㘰㡢〷搷攲㘰㡤收㔲搰扤㡥㜶慦愷攲つ〰㈵收㔲挴扤㤱㘲㌷〱㈸㌵搱㌴晦㕣攸愵㤵㘵扢㕣扢搷敤㉦ㅦ㔹㜳昳㥤㠱〷搴挶戴挲昷㉤〰〵捤〷㝤〱挰ㄹ㤲㈷挵㥡愸㝢㉢㐴摤摢愸㜴㍢㐰昱收戱㉣摤㐱戱㍢〱㤴ㅡ㘳㥡摦敡㠲㔵㘷散㌵㜰敢ㄱて㝥戱搵攵ㅦ慦㝣攵ㄵ戵〹搸㤲换扢㈹㝣て㠰㜳㉦㐰晥戸㡣扢昷㤱㝦㍦㠰㔲㈳㡤戱㕥扦㜴ㅦ昷㔶㉡㍣收搴ㄳ㉥晢攸搱㌹㠹慥㙡㔳慡昳晤〰㐰㐱㕦晣挹戴攷㥥愰晢㈰㐴摤㠷愸昴㌰㐰昱扥㠴㙡摣挵ㄴ㕢〲愰搴㄰搳晣攳㌷愸挵㕢㑥戸㘶慦㠵捦扥戰攰晣㌷㍢㉤敡扥ㄴ散㝤捤㌵敦戰搶挴㉣㙣ㅣ戲㝢㤲㜰晦㈰晦慤㝥㌳㠶扤㔸㈶㥡㠹㘵㐲愱㔴㌴㤸愸㐹㤴㔷挳散㥡㙥〱㌸捤扢㘷昶㙦㘸㑥戵捣㤲㍤㐱昷捣㠸㠶挶昶㜴慢㈰㔵ㄹ晣愷昷㌵㠲昷挸っ㥦㡤つ㘱㔲㙦ㅦ搶换っ㑤户戶㘳㈳搵㍥㈷㝢㉤户搹㤰㐴㕢㍡㡢昶㌳戶㠷戴捣㘸㑥戵㙤㕡㥣㌹扥㍤搱㥥摥㈴㥦㤷㌵㔲愰㌶ㅥ㥢慣㜴㥢戸戴㐵扥摡挴㐴攳㡣昴攰搹つ㥡扤㜹ㅥㅢ摢慤㤶晡搲摣ㄱ慤改㈳㍣㙥㠱㐷㠳㜱て㘰愶搸㉥攸愵㘶㘹扦慡㠷㑥㙤㘹㑢㌷㡢㝢晤㥡挶㌶㈴て㑦户㡥㑦昳づ㐲㍡㈵㕤㕤㥦㉣戳攷敢㌷愶ㄹㅤ挵㉥㉥戵㤵㥦捡㐰愷㥢㔳改ㄴ晣㥤㡥㈸捦㤹㤰愸㙦㑣㙦㤰㈳愲摢〴㘳攳ㅣ昲㠸㤶攴㡣戶愱㉤捤敤慤㉤㡤戹㥣挱愹㤹〹散㌳㔳晢戴愴搲㕤攴㔵愶愱㉡敢摣㔹愹戲敤㡡敤㈴㘸扢㡤㕢㍡摦㈰搹ㅣ愳愶㘳㘱摦㈰愲㜰搱慤愰㘷ㄹ〷扥㐱㐶昹敤㍢昴挴㍦〸㈹ㅤ散㔰扡挸㈰愵搲㐶戹ㄳ慦晦㌸攴〷㜹㘸㑣㜳㔶㜶敡㔳摡㘴㜶㕣慥挶㔳㕦㔶㜸挳㠸搲ㅤ〴㑤捣㝡㘳㙦敤ち㜷敡戴慥改晤昰㤹戸㥢戰㘷愲㌹搵㤸㙥敤昰㜶㤷愲㐷敥㌲㠲㐷〹ㅥ㈳㔸㑥戰〲愰㝣㔷慣㜱㈵㈳摡〵ㄲ㙡戶㥡㔳㍥慢㈱搵㍥搵㤹㥡㙥㤸㌲戵ㅤ㌴摣㈶慢愸㘰戸ぢ㕥敥ㄳ㈰戹㑦ㄲ㍣〵㔰㔹㔹收㍣㑤㈱愷搲㝤㠶晦㍤ぢ搰㝤昰㡣昶㤶㙡㌳ㄶ㉡㔵㜹㙦搰晥昸摤㡣㑥搰㜲攵收〹敥㙥戵㤵㌷攱ㅥ㑤㕢攷捥挵㐲戱㘷愲㙤㙡㍢㘷㘱挷㑣摡㝢㡥攰㜹㠰敥㉦〰㡣摥㌳摤㠸㌹晣摦扡㌱㔶扥㌵㙣慥昶〶っ㉦㉣㌷㘸ㅡ㍦愷㌹㌹戵戵愵ㄹ户㈷㠷㈵摡ㄳ㠳㤳戸换搴愶ㄲ㑥搳愸㤶愱㌳摡㥤愶㍤ㅢ昰㕦昷愶㜱改改改㐴晢㔰慣搱敤㍤㥡㐶攱づ㤵㉣愲㈳㔳戳换㥢昴捤愵㘱改戶愴换扢㔰㈳戱㈶捤㜶㜰㠴㐵戶㝢ㄳ㔷㤹昴散㜶㥡敥摡㠴ㅢ〹ㄸ㑢㉥㠴晡㠹㤶㍥愲㘶て愱㔹敤㑡㠳挱㐲㐰づ㝤㔶扡〹㐱㕢㉡攳戰挱改ㄳ攷晢㉥〶收㑦㥦晤摡ㅢㅡ摢晡㥢昰昶ㅦ搶㠲扢㤴㘹戹㐱换戰㍢づ㐶㤷搳㘱戲昲㘷㌹㙦㘳㡤㐹搶㙢戳㜰㘵㡦搶㤶ㄹ搳㜹ぢ攱扦㘵㠷戶捡摣ㄷ〱ㄶ㝤㝤昳慥摢㕣㝥挷㉡昳晦㜱㤸㍦昲㜲㕥〲㌳晦㙡㈶收㜲昴㤳㡦晦攴攵扥㡣晦㉡㕤ち㤷攰㤵昷〱慦攸扡㕢攲ㄶ㕣㌹攴扢㌷愱晢ㄳ㕡搳㜲㑦戱㐲㤰㌹搳搳㍤㥡昶㙦㘹㍤扣扥愵攵㜰㡥㠶㥥㠲戵㑤㑤愷摢㜹愳慥㥢戹㉦挹㘳愵㔴攷捥㌹㜷攱㝣㜷昴戶㠴㝤攷㜵㠰ㅥ㠳ㅢㅢ慢慤挵㌶攷つ㤰㍡攳晣攲扣㠹㠳㜵㘴㘴㔵㡦㙦㙦㑤㈷㥡晡捦㙥㙣㙢㔲㝤搱㙤摥㐹晢攸改㉦㈷晥㍥㙣昹㠸〷㐷㙣搳敦㠰愵㤱〶戵慤㘱ㄴ摣慦摢ㄶ㠶慡昱㜶摦㈶㜸㠷攰㕤㠲昷〸摥〷㔰搵㔰攵㤲㠵攳摣㤷晢て攰敥〷〴晦〴挰挲㈳攱挵扡昳㈱㘹㕣㜷㉡㤵敡㡢晦戸摣戸ㅦㄳ㝣〲愰戶〷攰挴㉣㜳㍦〵㈸㤹摤捦挰捣捦㙥愸㌰㠳㥦㐳慣搲愵㜰〹㥥摡〱㍣㘶搸㘵㐴㕤挶搰㘵晣㔴てㄳ㤴㠲㘸㜵㌷㡣㠲ㅢ㤲㍢㐲慤㥡晡摦ㄳ晣㐰昰㈳挱㑦〴㍦〳㈸愷㘴戴㝥愵捣㙦〴扦〳昸愲挵挸摡㘸敤㠴㘳㠹ㄶ㘷戱摢〹㐰敤っ㤲㡥㔶㘷愰㈵愳挵㑦㘱昲愳ㄵ㉥㡣㠸〳戱㑡㤷挲㈵㜸㉡㠸昶㡡㐵敢摢㤵㈵挶搶㌷㠶㔱㜰挷戵〶㤶㍡戸戸捥戹慦ㄹ㠰㙣捥挵㜵挱㘵愳扥愶晡㝦ㄷ挷晦㜳ㄷ挷戹ㄷ挶㍢慣收㙡㌰敦搲戸攴㠵搰㔲っ㠸晦㜷㘹㤹晦㐹慡扥戴慣挲昴㔵㕦㘱摡ㄵ㕦㤷搷攱散敥㐵戰㉥㠰㙦愵㔹㕦愳㉡㠲搸昶挶摢摤㠰㐲ㅢ〲㤴搷〲敤昸㐲〹搳戵ち㐲㕤昸㐱㐸㡦愶㘱改㑣〲㥦㝣捡㈹㐸㈵晥扦扣昶改㠲て愰搱〳㝢攱搳㜱㈷攰㍢慦㉢㥣晣㑤㔳敥㠷㜲昸愸㌰戵㐷扡㜹〲捥攷㙤晦捤㑢㥡晦收愵㤱扢ㄱ㍡㙤㕦攵ㅦ㘳㌰慣㜹㥦愸搹㜵㈶慦㑢㈷㑦㉥慢㘰て㐹㜱愳〴〵㔷㑦㥢㠱㔷搹ㄱ㑦挵愰攷㥤㌱㥣摥㤰敦㡣挱愲捦戱敦㤶㍡㙢扣㘳ㄸ〵ㅦ攵搴挱㕡㌵㍤搹〶㠶摣㙤〹晡ㄲ㙣㐷戰㍤㠰㝡扤攴挸敦㐷㤹ㅤ〹㜶〲昰㡤晣㥤㐹㌳㔷㈴扢挰㜸㙦㌶㄰㈲㌱っ愰㜶〳慡捦戱㌵㐰㑢㥥㘳㈳㘰收㥦㘳㈳㠵ㄱ慢㠵㔸愵㑢攱ㄲ㍣㌵〰敤㜹ㄱ昳㕤㤱㉣㉦ㄵ慤挷っ愳攰戳慡㠱戰㔴㡤户㍢㤰捤つ㈲ㄸ㑣㌰㠴㘰㈸㠰㕡㕣㌲㕡挳㈹㌳㠲㘰て〰㕦戴㐶㤲㘶愲㌵〸挶㝢戳㠱扤㐹ㅣ〵愰㠶〰搵搱摡〷㘸挹㘸㡤〶㌳㍦㕡㜵㠵ㄱㄹぢ戱㑡㤷挲㈵㜸㙡㈸摡㉢ㄶ慤㥢㑡㐵敢㐶挳㈸昸㌰㙥㌸㉣㔵攳敤㑥㘲㜳〷ㄲㅣ㐴㜰㌰挱㈱〰敡敡㤲搱㥡㑣㤹挳〸ㄲ〰扥㘸㈵㐹㌳搱ㅡ〱攳扤搹㐰㥡挴っ㠰摡ㄳ愸㡥搶ㄴ愰㈵愳㌵ㄵ捣扣扢散戵㠵〱㤹〶愹㑡㤷戲㈵㜸㙡㈴㥡㉢ㄶ慣㜳㑡〵敢㙣挳㈸昸戴㜱ㄴ㉣昱ㄲ捥㙤㐳㜳敡捣㤲㠱㤹㐱㙦㘶ㄲ捣〲昰〵㘶㡥㐶搵㍥㌰搲㥢㠶㡥愴搰㔱〰㙡っ㔰㥥㜲摣愳㠱搹㤷㍡ㄱ㙤㜰㈵㈳捤ㅤ㑤㔰戰ㅡ捤〵て愳愵㌴㑦㡤〵㉦ㅢ㠰摥㤰搷㉢搱ㅣ搳捦㠲慢晤搹㠶㔱昰㜹攷㌸㔸慡㘶㑢愷搳挸㍣㠲㌳〸捥㈴㌸ぢ㐰戵㐲戵昸㌹昸ㅣ捡㥣㑢㜰ㅥ㠰㉦㈸攷㤳㘶㐶换㜸ㄸ敦捤〶㉥㈰昱㐲〰戵ㅦ㔰㍤㕡㉥〲㕡㜲戴㕣っ㘶晥摣ちㄶ㐶㙢㈱挴㉡㕤ち㤷攰愹㠹㘸㉦ㅢ慤散摥㘸㜲愹㘸ㅤ㙡ㄸ〵ㅦ攸㑥㠲㈵ㄹ㉥搷愰㌹㜵㜰挹挸㕣㐷㙦慥㈷戸〱挰ㄷ㤹㥢㌴慡づ㠴愱摥㜸扢㌷㔳攸ㄶ〰㜵㌰㔰ㄹ㉥户〲戳㉦㌵ㅥ㙤㜸挳攵㈰㤰ぢ㍢㜹㈷攴㉢摤づ㜸敡㄰攸㘵〳㤰ㅤ㉥㈳㑢〵㘰㑦挳㈸昸㐸㜹㌲㉣㔵搳㡢〷搱愸晢㄰挱挳〴㡢〹㤶〰愸㈱㈵㠳戲㤴㌲换〸ㅥ〵昰〵㘵㌹㘹㘶戸ㅣ〶攳扤搹挰攳㈴㍥〱愰敡㠱敡攱昲㈴搰㤲挳攵㈹㌰昳㠶ぢ㍥㐳㉡㤸㕣捦㐰慣搲愵㜰〹㥥㑡愲扤㙣戴戲挳㘵攷㔲搱敡㙦ㄸ〵㥦㤹愷㘱愹ㅡ㙦昷ㄵ㌶昷㉡挱㙢〴慦ㄳ扣〱愰戶㉢ㄹ慤扦㔱收㉤㠲户〱㝣搱㝡㤷㌴ㄳ慤っ㡣昷㘶〳敦㤳昸㜷〰㌵ㄵ愸㡥搶㍦㠰㤶㡣搶〷㘰收㐵ぢ㥦摤ㄷ㐴敢㕦㄰慢㜴㈹㕣㠲愷ㅡ搰㕥戱㘸慤㕦㉡㕡敢ㄹ㐶㐱㔱㐰㈳㉣挹攴晡て㥡㔳扤㑡㐶收㑢㝡昳ㄵ挱搷〰扥挸㝣慢㔱搵〴㐳扤昱㜶扦愳搰昷〰慡〵愸㑣慥ㅦ㠰搹㤷㜲搱㠶㌷戹㥡㐱㉥散攴㉦㤰慦㜴㍢攰愹改搰换〶愰㌷㥢㤴㍢㉦慢㝥㉦㜱㉦㘱愵㘱ㄴ㤴㈵戴挲㔲㌵扤攸㡣扢搰㙥ㄷ㠲㜲〲㠷愰㉢㠰晡〹慡挵搷㘲搶㤷扡㤵〴摤〰㝣㐱改㐱㥡ㄹ㉥㙤㌰摥㥢つ㔴㤱挸㉡㔴㌵〳愸ㅥ㉥敢〰㉤㌹㕣㝡㠱㤹㍦㕣㙡ち愳戵ㅥ挴㉡㕤ち㤷攰愹㤹㘸㉦ㅢ慤散攴晡戰㔴戴晥㘵ㄸ〵㜵ㄷ戳㘱愹ㅡ㙦㜷㜳㌶户〵挱㤶〴搵〴扤〱搴㝢㈵愳戵㌵㘵晡㄰㙣〳攰㡢㔶㕦搲㑣戴收挰戸㐴㙢㝢ㄲ㜷〰㔰㐷㠱愴愳搵て㘸挹㘸敤〸㘶㕥戴㔰晦㔱㌰戹晡㐳慣搲愵㜰〹㥥㍡ㅡ敤ㄵ㡢搶戳愵愲昵㡣㘱ㄴㄴ㤶ㅣぢ㑢搵㜸扢㌱㌶ㄷ㈷愸㈳搸㠵㘰㔷〰戵愲㘴戴〶㔰㘶㜷㠲㠱〰扥㘸つ㈶捤㐴敢㌸ㄸ㤷㘸つ㈵㜱ㄸ㠰㍡ㅥ㈴ㅤ慤攱㐰㑢㐶㙢〴㤸昹搱㉡㜲㥥摦ㄳ㘲㤵㉥㠵ぢ愳㈵㍣㜵〲摡㉢ㄶ慤扢㑡㐵敢㑥挳㈸愸㥣㌹〹㤶慡昱㜶昷㘵㜳攳〸挶ㄳ㑣㈰搸て㐰摤㕣㌲㕡晢㔳收〰㠲㐹〰扥㘸ㅤ㐴㥡㠹搶挹㌰㉥搱㍡㠴挴㐳〱搴愹㈰改㘸㑤〶㕡㌲㕡㠷㠱㤹㜷つ㕤攴攳㠰㝡㐸㔵扡㤴㉤っ㤶昰搴㘹㘸慥㔸戰㉥㉡ㄵ慣ぢつ愳愰㌴㘸ㅥ㉣㔵攳敤ㅥ捥收ㅡ〹㥡〸㥡〹㕡〰搴戹㈵㠳㜵〴㘵㕡〹摡〰㝣挱㥡㐱㥡〹搶ㄹ㌰㉥挱㥡㐵攲㙣〰㜵ㄶ㐸㍡㔸㜳㠰㤶っ搶㤱㘰收つ㉤㤴㈸ㄵ㑣挴愳㈱㔶改㔲戸〴㑦㥤㡤昶㡡㐵敢㤸㔲搱㍡摡㌰ち㙡㥦㔸挶㈴㘷戹㤳搱㥣㍡戲㘴㘴㑥愵㌷愷ㄱ㥣づ攰㡢捣ㄹㅡ㔵昳㙤㔴捥愴搰㔹〰㙡〱㐸㜲㤶㍢ㅢ㤸㝤愹㈳搰㠶㜷㤶㍢ㅦ攴挲㑥捥愷㑤户〳㥥扡〰㝡搹〰昴㔶戰㈲㘷戹㈹愵〲㤰㌱㡣㠲敡慢㡢㘰愹㥡㕥㕣㑡扦㉦㈳戸㥣攰ち㠲㐵〰敡戰㤲㐱戹㡡㌲㔷ㄳ㕣〳攰ぢ捡㜵愴㤹攱㜲㌱㡣换㜰戹㠱挴ㅢ〱搴㐲㤰昴㜰戹〹㘸挹攱㜲㌳㤸㜹㜳慢挸㘶晥㔶㐸㔵扡㤴㉤っ愴昰搴愵㘸㉥ㅢ慣散㐹㙥㥦㔲挱ㅡ㘵ㄸ〵攵㘵㔷挰㤲㡣㤶晢搰㥣摡慢㘴㘰晥㐲㙦ㅥ㈰㜸㄰挰ㄷ㤸㠷㌵慡ㄶ搹愰㉣愶搰ㄲ〰㜵ㄵ㐸㌲㕡ㅥ〱㘶㕦㙡㌰摡昰㐶换㤵㈰ㄷ㜶昲㌱摡㜴㍢攰愹慢愱㤷つ㐰㜶戴挴㑡〵愰搶㌰ち慡摢慥㠳㈵〹挰戳㜴㌹㔲㌲〰捦㠳敤扥㐰昰㈲㠰㉦〰㝦搵愸扡ㅥ㠶㘴㔴扣㑣愱㔷〰搴㡤㈰㐹〰㕥〵㘶㕦慡㥦㍦〰㌷㠰㕣ㄸ㠰㌷㘹搳敤㠰愷㙥㠲㕥戱〰昴㉥ㄵ㠰㙡挳㈸愸慦扢ㄵ㤶㈴〰晦愰换㕢㤴っ挰㍦挱㜶晦㐵昰㈱扤换㝥㔰昹戱㐶搵㙤㌰㈴〱昸㠴㐲㥦〲愸㍢㐰㤲〰㝣〶捣扥搴晡晥〰摣づ㜲㘱〰扥愰㑤户〳㥥扡ㄳ㝡挵〲搰慤㔴〰㉡つ愳愰挲敦㙥㔸慡愶ㄷ㍦搲敦㥦〸㝥㈶昸㠵攰㔷〰搵愵㘴㔰㝥愷捣㑡㠲㔵〰扥愰愸捥愰㤹昵攲ㅥㄸ㤷挰㜴㈶戱ぢ㠰扡て㈴扤㕥昰㘹㥥㤲敢㠵〳㘶晥改㈵㕥ㄸ慤ち㠸㔵扡ㄴ㉥挱㔳昷愳扤㙣戴戲ぢ挶搷扦㤵搸㐳㝣㘵ㄸ〵㈵㡣て挲㤲っ㤷㜵搰㥣晡〲㘲挵昷ぢ敢搲㥢昵〸搶〷昰㐵㘶㐳㡤㉡㤶㌴㑡㔴㌶愲搰挶〰㙡㌱㐸㌲㕣㌶〱㘶㕦敡㐳戴攱㉤ㄸて㠳㕣搸挹㉤㘸搳敤㠰愷㤶㐰㉦ㅢ㠰摥ち㔶攴昴昲㜶愹〰扣㘵ㄸ昹㐵㤴攵换㘰㈹扦㉥㐴㥥㌴昲捡换㝣㥦捥昵㠴戰㤳搹慦戹愱扤慤㕢㠶昵㐳㈳ㅡ摡昱昱㐹昷っ〰づ㐵㘵ㄳ愹挴昲㈹昵换㑣㙣㐸捦攲〷㈷㕢ㄶ戲昰㄰搶搰ㄹ㙤敤㉤㔲昲戲㐵㈱㝦㔸换攸㤶昶㘱つ㙤搳ㅢㄳ㜳晡ㄴ㘱㙢捥晥㔳搳捤㈸つ㙣㐵㠵攰敡㠴㕡愶㑦㑦愷㡡昸㌸扥㘵㐶㙢㌲㍤㜲搸晦㐲㜱愱搲戵㍢㘵愸〶㔱慡㑣㙤㔳晡攳㔳㕦摣㌷㐷㙥㍡愱㠲㐴晤挹摡㌴㕥攵攱ㄳㄵづ㔵ㄸ挱㄰挷慢慣晣㔱愰ㅤてて㕦愹㘲㌷〸㔷㘶㤰㔲㑤敢㘱㙡㘱㐷㌶户㌵愴搲㤵〶挳挳㍦㍤捤攱㤸ㄹ敤㌹㥣挴散㜵つ〷㈵㉥㘳㥡㤱昶㘴愲㌵昵扦㤰ㄱ㜴っ㉦㥤づ攵攰摦㥦ぢ戲㌶㔳㔶昶㤵摣捥〶昶搵㜱ㄲ攸戲昲挷㠰ㄴ慤㌶昲愶㈱づ㝣㔵㥥晣搸戵〷㐳敤㤱㉢㠸敤㤳㑥㌴㑢〶挶户愷㠶愵㘷昶ㄴ㠹㌴〶㌶㥥㜹㙣㑣慦㥢㡢捡〷戵㙥㘶㜰㝤㕢㑢攳㡣昶㜴㑦敦㐸㈶戸㥢ㄹ㤷㙥㑣戰㘲户扢㜷㌴㌶搹㡥㥡㘶捦ㅥ慢㜱晦㜷戲㠳㠸㜴㌱ㄹ㔲㤲㈳愷㠳㠱㥢摢〹捥㥤㍦㤹㔱㉣扤ㄹ㜹㝤㌱㔰㉤扣㠴慦㥢〶㤶搹〳㌳㠹㤶挳㝣晥㈷戱戹㙢慣扦㈴㤷戳㘸㕤㕢㈹慥㔷㌶㔹戴扡㕢ㅡ慢㘱㝢㘴㘴扤㐳挹㍢ㅦ㐸慣攲戴㘹挴戳挸敤つ挹㐴㘳攳㥣㥥㤹㤱捤挹挶ㄹ愹昴愸㐴㝤扡搱慥搵㉤慤㑤晦㈳昹㘲慤㤱㤹㑤ㅤ挴挵〴㘵㈴㥥ㄱ户〵挰㝦㝡㜹挳挷挴㔸搹攴㔴㡢ㄵ戵搲敤〷㡣敢摢ち㌸昲㠷敢㥦㉢愱搴㉢㕢扤㉦㑦ㄱ㘳㔹㉢㈰㜱㍤㘳㌹愸㔷㐲㉤㌳捥㈷㌶慡㘵㔴ぢ捡摢㔳㍥搲㥥つ㥡昴㍦㌳慦㘴㑡㌹㡥昳㘷㑦㉣㠸ㄵ㕥㕦慤㌲晦昳扥ㄷ㕥㕦つ㘴晣㤹㠱㈷㠰攵ㄷ㤲晡㈶㠷㥣昳㘵ㄱ㘴㌹㔸ㄵ㔷㌰㝤挱㌰愱愱扤㌱摤㉤㈳㝣㌹慥攰㤴㘰㌴扢㘶㈶㑣㐵つ收戰ㅥ㤹㍤㕡ㅢ㔲㡤つ捤㘹㕥㝣攰㜱ぢ㍥戹㍤㉡㍤〵て〶㡣㙤㘹㙢攰搳扣㍤㌲ㄳ㕡ㄳ捤㙤搳㔹㝢㥢㥣搳㉢〷㤳㘴㤵㘷㠶㌴㌴㘳〲改㌶㜹㕣㤵ㄹ㍦戵㘵ㄶ扥搳㘰㐶㔳昳ㅥ㠹改㙤晦ㄳ㠹攲㝣搲㉦扤〲㜶㔲㥤㍡愹㡡㑥ㄵ㝦昶㍣㠵ㄱづ㤳㘱㤸散㐴㘰㔲昵㈴㡥㍡㤸慦捣㤲㜹㉣㠳昳㤵㍥攵㍣ㄸ㕤戴㉣摣晢㐲〸慥挱敥㡥㤸㤶摤㜷〲搸㙢㡦晤㐶㘶ㅦ收昹扦晡㜶㠵昲愷㘰戹㠳㔳㠱っぢ敦挹㠱昵㈱摣㔳てㄵ搲㌸㜲㕣挹㌸戱晣攱㔷㤹ㄱㄹ㡥㐴㥣㍤㈹捥挳ㄱ㈸敢敥㡥㠹㡦愵ㄷ攵昰㔸㜳㝢㙡㠴㤷㜱㑤㠹挶㌶挳ㅢ摡搲搴㤴攰搰攲戰ㅣ㡦㜵㍢㕤㈱搷搴㔸㐹摣っ㠰㡣㍦㐳㑡捣〶㈹㌱㕢㐸㌸ㅤ昳㘹㈰㌹愶慤㤶㈹㠹搶㠶昶愹㑤つ挹ち㈲㝣㘲攷㝦㘲㑣㘲〸㜵㐱㌰敤㑢〶㈶㉥㔰昳㡢戱㜴戵㌸搲摤ㅦ㝢〶㠶㡥改挷挸敤㈴攷㜰昵㈷ㅦ戵挰昰㤵挵摥摤ㄹ搶捡戱㤹㤵㡢㕡昱挵㜷昱㠵㈱㉡㡢㤰㝡㠶〲㜸扢㐱㠸搳㙢㜹㍦㠷㠳づぢ攰扢㐲愰㜲㔴㑢㈲㌵〲て㜵戵戴㜶㌵摦〶㔲㠱搴㜲㐹㘹つ昰愱㠷愱㜸㕣〸㡦㈱捤挴㌵㜰㙢〵〹攳昱㌸㐱ㄷ㍥㉥攱攸ㅣ昲㔴㔸㔶㕥摥慤愲㔸㕢㈳慤慤㍥愶ㄶ摣晦㙤㉡㈳ぢ散㝦扥㙦㝣㘰〵扤慡攴㘵㠴ㅢ㐲㜷摣㌰㠰㝡ㅥ㈸晢㤳㈷㔰㐳㠱〸㐰昹㡢㘰收捦㤲㤲て〸㐰愱慣扣㠹て㉥㔴㌴戱㍢戸摣㜰昰㌸〳ㅥ㠰㐰㐸㥣㙥ㄵ㉦㠰敦㐶㈱昵晣㜳捦つ挰㜱㤹㝡ㄹ挰戶捦㤵摣㌸㔸换昶㘳〰敡㙤㄰㤷攱㉤㘹挳愷㉤㙣㈲扢ㄱ㔱敦〰㝤ㄴ㙦晢昲㘵搱攴昰㕤戰㜸ㄹ捤㐴慥敥㤲㑣扤〷戹攵ㄴ㜶㜷愱〷摣晣挸㜵挱㙥挰㜰㔶㔲敦㠳挰㙢〳晤㉡㜹昶㔲晦㠰〰捦㘰㘵㐵㔷㑣昵〱㌸㕣㌵摤〱戰慢晥㠹㈳㉥㐶摥攰ㅣ〸敡敡〷攷㠷愲〱㈳㠳㈰㙥〷愷晡ㄸ㔴ㅢ㔰㕦挶〷㐳挶ㅤ〲愰㍥㈹㉥㌰㤴〲挳㈸昰㈹〴㤸㜵㜷㌸㌰㉦㔱㥦晢搴㝣㠹ㅡ㐱戵㍤愸昶㍤〴㤶㔱㑤敦ㄸ㐷㠲收㑦搴て㐰㍢㑥搴㡦㤰㔸攳㐴晤〴攱攵㜸㤷戹㝢搱〳㉦㔱愳㠰㌱㔱㍦㠳戵㈶㠹晡ㄵ㜲ㅤ㈴敡㌷戰㈵㔱晢挰慥晡ㅤ㔸㑥愲挶㠰扡晡㐴昱ㅡ〷㠳て㕦㥡〰㜱㉦㔱搸㑣ㄷ㑢搴扥㤰㜱挷戱㌵㤶昴ㄷ挹攴㜸ち㑣愰㐰㘷〸㐸愲昶〳收㈵捡昱愹昱愱㝡㌳愳㈶㔲㙤㝦㠰㜲㤶〴晦㠱搲㙢㔹㌰扣㝢㌵戲㜵捣摥㥡改㤱昱摦㠹㔹㌷㘳㙥挹昸㙥扣攴搱㘴换㠲㌳攷晦搰㙤ㄵ挴㠸挱攴㍤㤵晦㡢ㅢ㈵晥戱捥慡㙡ㄹ㔴捥〱〸昸㠶搹挷搹慢ㄱ㥦昶搶㠶晡ㄹ扣挸㤴㜶㜹ㄹ搵㈵㝢㉤愵㔸㡢㉤〳㙥ㄲ㌴搵扡挰昴㠰㔳㌲挴摤㠳㤸挰搵㥥戶搶㠷ㅡ晥㔰慣㐸㈳散ㅤ摦ㅢ〰摡昱㌴〸〴㌳㌰づ㠱㡣㝢㈸〵㔹摤㕤㐴㘰㌲〵づ〳㈸㘷ㅤ㜱晥㜹㍡户ㅣㅡ㌷㥥㕣㤸敥㈲摦慦挴㠷搴㉡昰扣㤷㍣摤㔶㉥㈷戵㙥扥愷搲ㅣ晤㐰㕡〵㜴㜰搴搴收㡣挷ㄵ㑦㍡㔵愹㐷ㄷ㑦㈲㥣㈲㥤㍡㜵挱㘹摦挹㝦㌸愴愰㔹㥡ㄸ㥦㤶㤲㙤挵㌲㘵㈷〱㡦慢㜹㌳ㄲ昶㈷攷㝤㤷㠹昹慥愳摡慤㈴慡㜸づ㠷㔳㔴㕥㤵㤵㙥ㄲ㡡㜸ㅣ㠹挵捣㌶ㅡ扣晡㌳攱㑡㌱ㅡ㘹〰戵つ〴㤶㠱㘱ㄶ扣㈹㔴昳㥤㤹戶〵晢㔱㤰散慢昰捣搴ㄷㄲ㙢扣攰㙤〷攱攵戴攵㑥愵〷摥㠲㌷つㄸㄷ㍣㤶㍢慦挹㠲挷扡攷づㄶ㍣㔶㐴换昸㍢ㅣ㜶ㄵ㑢愳㜳ㄶ扣㈶㔰㔷㍦晥㔸㐲㡤㍦㝣㜶つ㜱㙦挱㘳つ戵つ㘸〵戸㈶愰㉤㤰㜱愷戳㌵搶㔷ㄷㄱ㌸㠲〲慤ㄴ愸㠱㠰㉣㜸㙤挰扣〵慦搶愷收㍢㌳昱慢攴摣ㄹ㔴ㅢ〸㠱㘵㜴㐷㥦㤹㘶㠱收㑦搴㈰戰ㅦ〵挹扥ちㄳ㌵ㄸㄲ㙢㥣㈸㤶㔳㉦愷㉤㜷㌶㍤昰ㄲ㜵㈴㌰㈶㙡㈸昸㙢㤲愸攱㤰敢㈰㔱㈳挰㤶㐴ㅤ〵扢㙡て㘰㌹㠹㍡〶搴搵㈷㡡搵摢昸㉢㜳㡦㠵戸㤷㈸㤶㙦ㄷ挹挳㜱㤰㜱攷戲㌵㤶㜶ㄷㄱ㌸㥥〲㈷㔰㠰挵摥㤲愸ㄳ㠱㜹㠹㘲昹戶㔵昳㥤㤹㑥愲摡挹㔴㘳愹昵㌲扡愳ㄳ㜵㉡㘸晥㐴ㅤ〸昶愳㈰搹㔷㘱愲㔸愱扤挶㠹㘲㈵昷㜲搸㔲敥㘹㘸挸㌹ㅤ愰昳㠰㌱ㄸ㑤戸て㌴て〸㤳挵㐲敦㌵㐹搶㘴挸㜵㤰慣挳挰㤶㘴㥤〱扢㉡〱㉣㈷㔹㘷㠱扡晡㘴㈵愱㠶㍦㝣㉤っ挴扤㘴愵㐱戲㐱敤つ慥㤹㔵攷㐰挶㍤㤷慤㘵㡡ぢ㥣㐷㠱昹ㄴ㤸〲〱㐹搶昹挰扣㘴戱㝣摣摡昵捤慡〵㔴扢㠰㙡㙤㄰攰愵㠴㍦㐳㌳㠰㑢ㄸ㥣ぢ㈱昲㠷㑥㝣㌳愱㉡㈱扡㠸挶㔹ㅥ慥㐳㘴㑥㝣㤷㠰扡晡㄰戱㡣ㅣ㝦㘵敥㐲ㅡ愱㙦㝣ㅦ〹㘸扢㌲〸〴ㄳ愲㑢㈱攳㕥㐶㐱搶㤹ㄷㄱ戸㥣〲㔷㔰㠰愵攷㍣昹㌹㡢㠰昵敥昸愴ㄲ慡㉢㝡㔶戹ち㥡㌸慢捣昵㌵攵㍢慢㕣捤愶慥㘱㔳㉣㈰㕦〶㔱㌳〷慥愳㥡敦慣挲搲昲㐷㐱戲慦挲㌹挰扡昳㌵㥥〳慣㑦㕦㑥㕢敥昵昴挰㕢慣㙥〴挶昱捦搲昵㌵ㄹ晦攷㐰慥㠳昱捦敡㜶㐹敥㑤戰慢㔸收㥥㌳晥㙦〱㜵昵挹㍤ㅦ㙡昸㉢㜳㙦㠵戸㌷晥㉦〰挹收慥〲㕣㤳摣摢㈰攳摥捥搶㉥㉣㉥㜰〷〵敥愴〰慢攷㘵晣摦〵捣ㅢ晦ぢ㝤㙡扥昱㝦㌷搵敥愱摡㌵㄰挸ㅦ晦搷㠱愶挷晦扤㄰昹㐳攳晦㝡愸㑡㠸敥愳昱ㅢ㠰攵㡣晦扦㠰扡晡㄰戱㉥ㅥ㝦愸㘱愱ㄱㅣ挸㥢挵昱㌶㐴㠳戲㈱㝡㄰㌲敥㐳ㄴ㘴攱㝣ㄱ㠱㠷㈹戰㤸〲慣愵㤷昱扦〴搸㙡挶㝦㌸㔸㜴晣㉦㠵㈶挶㍦慢散㙤㔳扥昱扦㡣㑤㍤捡愶㔸ㄱ扦っ愲㘶晣㉦愷㥡㙦晣㍦〴昶愳㈰搹㔷攱昸㘷㈱晤ㅡ㡦㝦ㄶ摣㉦愷㉤㜷〵㍤昰挶晦ㄳ挰㌸晥㔹㡢扦㈶攳㝦㈹攴㍡ㄸ晦换挰㤶攴㍥〹扢敡㔱㘰㌹攳晦㘹㔰㔷㥦摣攵㔰挳㕦㤹晢っ挴扤昱晦㌸㐸㌶愰扥昱晦㉣㘴摣攷搸摡ㄳ挵〵㥥愷挰ぢㄴ㜸ㄲ〲㌲晥㕦〴收㡤㝦ㄶ昸㕢扢扥㤳昵㑢㔴晢㉢搵㕥㠱挰㌲扡愳㑦搶慦㠰收㑦ㄴ换昴ㅦ〵挹扥ちㄳ昵ㅡ㈴搶㌸㔱慦㐳㜸㌹㙤戹慦搲〳㉦㔱慦〳㘳愲昸ㄸ挰㥡㈴㡡捦〳㜴㤰愸户挰㤶㐴扤〱扢㡡㡦っ攴㈴敡㙦愰慥㍥㔱㝣戴〰㝦㜸敥〰攲㕥愲摥〷挹〶搴㤷愸户㈱攳扥挳搶晥㕥㕣攰㕤ち扣㐷㠱㝦㐰㐰ㄲ昵㍥㌰㉦㔱㝣戶挰摡昵㈵敡敦㔴晢〷搵昸ㅣ㐰晥㐲昵㈵㘸ㄲ〶攷〳㠸晣愱㠵㡡㡦っ㐸㠸晥㐹攳㝣㜶㐰㠷挸㥣愸㍦〴㜵昵㈱晡ㄶ㙡昸㉢㜳㍦愲ㄱㅣ挸㥢てㅡ搸慥っ〲搱慣攵ㅦ㐳挶晤㠴㠲摦ㄷㄷ昸㤴〲㥦㔱攰〷〸挸㐲昵㙦㘰慢㔹愸㐲昱愲ぢ搵㝦愰㠹㠵敡ㄷ㕦㔳扥㠵敡ぢ㌶昵㈵㥢敡摣㈹㘷晣㝦㑤㌵摦㐲搵〵散㐷㐱戲慦挲昱捦㈸慤昱昸㜷㈰扣㥣戶摣㙦攸㠱㌷晥扦〳挶昱摦ㄵ晣㌵ㄹ晦㉥攴㍡ㄸ晦㤵㘰㑢㜲扦㠷㕤搵つ㔸捥昸晦ㄱ搴搵㈷㤷捦㑡㈰㝡愸㌲㠳戸㌷晥昹戰㠴㑤慥㙦晣晦っㄹ昷ㄷ戶挶〷㈹㡡〸晣㑡㠱摦㈸挰㐷㉢㘴晣晦づ捣ㅢ晦㝣㔸挲慡昹㑥搴㉢愹戶㡡㙡㥢㐳㘰ㄹ摤搱ぢ㤵㝣晡攰㑢搴ㄶ㘰㜷㥣愸㉤㈱昱ㄸっ戰㔳慢扤㠳捣攷㈶㤶㔳搸挵㡤ぢ㕦愲昰つ搲㤲㈸㍥㔲戱㈶㠹摡ㅡ㜲ㅤ㈴慡て搸㤲愸㜲搸㔵摢〰换㐹㔴㔷㔰㔷㥦愸扥㔰㤳㐴㔵㐰ㅣ㝦昲㔶摢㠳㙡〳敡㑢ㄴ扦㕦摤慤〴㔰㍢ㄴㄷ攸㐶㠱敥ㄴ攸〷〱㐹㔴て㘰㕥愲晡晢搴㝣㠹敡㐹戵㉡慡挵㈰戰㡣㤱搳㠹㕡〷㌴晦㡣㡡㠳摤㜱愲敡㈰昱ㄸ㤴搶㈸㔱㝣㘴㐳㈷慡ㄷ㍤昰㘶搴㝡挰㌸愳㜶〵㝦〵㡤挹慢昴慤晥〱㤰敢㈰㔱扢㠳㉤㠹㕡ㅦ㜶搵㐰㘰㌹㠹摡㄰搴搵㈷㡡㑦㠸㐸愲㌶㠲㌸晥㜴愲㠶㠲㕡㈴㔱ㅢ㐳挰摤〴㐰つ㉢㉥戰㈹〵㌶愳挰㜰〸㐸愲㌶〷收㈵㡡㡦㠱㔸扢扥㌳捡ㄶ㔴摢㤲㙡㝣㥣㘳ㄹ扣㌰㠹敡つ㥡㍦㔱㝣搰愳攳㐴昱㈹㤰挷愰戴㐶㠹攲搳㈲㍡㔱㕢搱〳㉦㔱㝤㠰㌱㔱㝣㤰㘴〵㡤挹慢㜴愲昶㠷㕣〷㠹㍡〰㙣㐹搴㌶戰慢㈶〱换㐹㔴㕦㔰㔷㥦愸㠳愰㈶㠹摡づ攲昸搳㠹㍡〴㔴ㅢ㔰摦㡣摡ㅥ〲敥づ〰敡搰攲〲晤㈸戰㈳〵㈶㐳㐰ㄲ戵ㄳ㌰㉦㔱㝣〴挵摡昵捤愸晥㔴摢㤹㙡㠷㐳㘰ㄹ扣㌰㠹ち㠱收㑦ㄴㅦ㌲改㌸㔱㝣〲攵㌱㈸慤㔱愲㥡㈱慣ㄳㄵ愶〷㕥愲㈲挰㤸㈸㍥挴戲㠲挶攴㔵㍡㔱㝣㥡愵㠳㐴昱㌹ㄷ㐹㔴ㄴ㜶ㄵㅦ㜸挹㐹㔴っ搴搵㈷㡡て挶㐸愲攲㄰挷㥦㑥搴㉣㔰㙤㐰㝤㠹慡㠳㠰扢ぢ㠰㥡㕤㕣㘰㔷ち散㐶㠱㌹㄰㤰㐴つ〰收㈵㡡㑦挶㔸扢扥㐴敤㑥戵㠱㔴㍢ㄹ〲昹搷㘸愷㠲㈶㘱㜰〶㐱攴て㕤愳昱㠱ㄷ〹搱㘰ㅡ㍦ㅤ㤸づ㤱戹㐶ㅢち敡敡㐳㜴〶搴㈴㐴挳㘸〴㈱㤲㌷ㅦ㤳戱㕤ㄹ〴愲戹㐶ㅢづㄹ㜷〴〵昹〸㑤ㄱ㠱㍤㈸戰㈷〵捥㠶㠰㕣愳㡤〴戶㥡㍢昴挵㉦搱昶㠶㈲㉥搱昸戸㡤㙤挹㜷㠹㌶㡡㉤敤挳㤶㉥㠵挰㌲㠸㥡攱㍦㠶㙡扥㌳㍦ㅦ㥡㜹ㄴ㈴晢㉡扣㐴扢ㅣㄲ㡦㤱㡤慥慦昶捣㝦〵㠴昵昰ㅦ㑢て扣攱㍦づㄸ㠷晦㈲昰㔷搸戶㑡㔷㍥㈹㍥㥤搳挱昰攷㜳㍢㤲摢昱戰慢慥〱㤶㌳晣昷〳㜵昵戹扤づ㙡㑣愷㍢ㄱ攲昸搳挳晦〶㔰㙤㐰㝤挳㝦㝦〸戸〷〰㈸㍥〵㔴㐴㘰ㄲ〵づ愴挰㑤㄰㤰攱㝦㄰㌰㙦昸昳㜱ㅥ慢收ㅢ晥〷㔳敤㄰慡昱戱㥣晣攱晦ㄷ搰昴昰㍦ㄴ㈲㝦㘸昸㍦〰㔵〹搱㘴ㅡ㝦㄰㔸捥昰㑦㠰扡晡㄰㍤っ㌵〹㔱㍤㡤攸㌱㠰攲㝤㔰㙤㔷〶㠱㘸㠶㝦ㄲ㌲㙥㡡㠲㑢㡡ぢ愴㈹㤰愱挰㈳㄰㤰攱㍦〵搸㔶搹㝢㠹戹摦㕤㙤㝦㡤愳昸捤㤴〶愸㘲〲昰〹㈲敢㡣㙦〲㑣㘳㕢㠷戳慤㘷㈱㤰ㅦ㔷㍥攲愳攳摡〸㤱㍦ㄴ搷ㄷ愰㉡㜱㙤愲㜱㍥㈱㤴ㄳ搷ㄶ㔰㔷ㅦ㔷㍥㐹㈴㜱㥤㑥㈳㌶慥㝣㥣挸㜶挵ㄷ搷㈳㈰攳戶㔲㤰㡦ㅡㄵㄱ㘸愳㐰㍢〵昸昴㤱挴㜵〶戰搵㙤晤㈲㐵户㝥戳愰㠹戰扥改㙢㙡〳㔲㜴搱捣㙣㌶㌵㠷㑤昱ㄹ愲晣戰晥ㄳ㌴ㅤ搶㈳㈱昲㠷挲捡挷㡤㈴慣㐷搱昸㠷挰㜲挲㝡っ愸慢て敢挷㔰㤳戰ㅥ㑢㈳㌶慣㝣㐸愹㐸搴㡥㠳㡣㍢㤷㠲㥦ㄶㄷ㌸㥥〲㈷㔰㠰捦㌴㐹㔸㑦〴戶㥡戰㠶挳㐵挳㝡㌲㌴ㄱ搶㉦㝣㑤昹㐶敢㈹㙣敡㔴㌶昵㈳〴㤶㐱搴㉣搷愷㔳捤户㕣晦〴昶愳㈰搹㔷攱㜲晤㌳㈴ㅥ㈳ㅢ晤㕦敤㜲捤〷㥦昴㜲㍤㡦ㅥ㜸换昵㤹挰戸㕣晦ち晥ち摢㔶〷换昵敦㤰㤳挴ㄷ㉦昵㔹〹戶㈴昷㉣搸㔵慢㠰改攴敡ㄶ摤㜳㐰㕤㝤㜲㔵㘷改ㄳ㍥搱㠱㌸晥昴㜲摤ㄹ㔴㥢摣ち㄰捤㌸㍤て〲敥㝣〰搵愵戸挰昹ㄴ㔸㐰㠱㜲〸挸㜲㝤〱㌰㙦戹慥昰愹昹㤶敢ぢ愹㜶ㄱ搵搶㠱㐰晥昸㕦ㄷ㌴㍤晥㉦㠶挸ㅦㅡ晦敢㐱㔵㐲㜴〹㡤慦て㉣㘷晣㕦ち敡敡㐳戴㈱搴㘴晣㕦㐶㈳㝡っ㤴愹㡤㐰戵㈱ㅡ㤴つ搱攵㤰㜱慦愰攰挶挵〵ㄶ㔱攰㑡ち㙣〲〱ㄹ晦㔷〱㕢捤昸て搵ㄴㅤ晦搷㐰ㄳ攳㝦ぢ㕦㔳扥㘵攵㕡㌶㜵ㅤ㐰昹㜶㄰㔸戳㠷㝡扡挲㘰挰昷愴㤵㝣晤摣㍡㤹㝤㘷㈴ㅡ昱ㅢ㔶㘳㔰昶摦㑥搲晦㐲扤㘷ㄷ晤昰挵㙡敢㌷愴ぢ〷ㅤ挲搲㡤晣ㄸ攴搶㝡㤸扥挹户敤晤戹㠷㌳㉡换て晣㜵搵慡㌵㙢㠵㈳㈹昷晢敦㤰㈴㍥戵㡡㠴㘱㤵㈸摦ㅥ㘸〷戵捦㜹捦㉡搰摡扡搹㑡㑤搶攴昶㙢㐴㐹搰ㅡ㤴㐰摦㠸〶㔵㍦戴㈶㠳晣㈶㘰㔸㑡攴慤㔸ㅤ㉤搴㥢㈹〳㉡摦攵㍢㠳㥡㕦慣㔳㔰㔴ぢ〵㍣㥡挵昲摡昱敤㜳ㅡ㔱搲捣㐳ㄶ敦攸㈳搶㜰㙡㌶㥣㙥㘹挵昳ㄹ㕤昲扦㠵搳搳㕤ち㔳摤搶换晢晡㜷㔱㈳㘷㈷㜸㔳扥ㅦ挲㕥㔲㥦㑥㘷㈳㑤ㅤ扥㥣㕢攱攲㝡晢㌴㈴㕢㕢摡㕡㌲敤搵攳㔱㤶㕦捤ㅦ〴挸攰〱㡤挱攵攳㘱戱㘸㥢散㔸㤷㘶晥㠴摢㑣㝥㜹㘱攵攱捤㉤戳㥡挵㥢昲㌶晥㉥㠲挴慢㙢㔷㌶㠳㜵㕢扦戶㐶攰〲㐱㌸捡㐵捦扤ㅤ㈶摣㍢〸敥㈴戸ぢ愰㐷昷㐰挸挴摡戹ㅢ昸㌶㐳㠷っㅤ㌷㌹㥥㡡挵㘳㤹扡㐴㌸ㅣ慥㡢挴㔲㜵昵㌵㜵愹㜸〶㝦改扡㔴㙤㈲ㄲづ㠴㡤㡥㝢て㜴〲㌵ㄶ扢㤷㔸挴㘲攴㔵㐵㠱搱ㅤ挷㜸昴㕦晢㉦挰㠲㕡晣㤵㌹昷愳㥤㜵㠶づ㤹㥣晢戳㜷捥㕦㐰敥づ戲㔴㘹㡤挳㙦ㄳ㌸て㠰搲ㄳㄴ㕦昹㝥㈰㘶慣戸て㠲改昶㠶㍤户ㅡ㐰搵㠱捥搵慢㔲つ㐳㐲㌸扢搸㔶愵扢〴㘲㍣㤷敥〲㤴㌳挵㝤〴〴戵ㅢ㡥㈴晥㑢㠱㜹愳㜸㠰愵㉥愳っ慤昲㍤㄰㔴㡥㘴㌵㄰㐶㌹㝥㐰㉣㜳ㅥ㠳㐸挹㐱愱〶㐰㡣〳㈳㌷戱㠳㘰㐵ㄲ扢〲捡敥攳〴㑦㄰㍣〹㠰挴づ㌶捤㍢㑦〱搷㠹慤慢〹挵㙢㈳㠹㥡㘴㌲㔳ㄷ㐹挴㤳㜵㌵改㥡㔰㌲㥣㡣㠶㘲昵愱㐸㈴ㄲ㤰㝡㕡昸攳㍥つ㥤挰㔰㘳挱㝤㠶搸㌰㡢㤱㔷㌵ㅣ搸摡㐹散〸㔸挶ㅦ㝥㤴〵敤戸㑣愳换捣〵昶戰昴ㄷ㐹敡㑢㠹㙤〱搴㐸搰㜵慡晡㈳㐴搹㔴扤〲㌱愶㙡㉦昰㈵㔵慦㠲愰㔸㑥㉢愹㝡つ㤸㤷慡㝤㉣昵㜵捡搰㉡摦㘳㐰㤵㔴㙤て挳㌶㔵㉥攷㉦愷慡敡㕢㌴㉢㘳愱㈴㔹㜹ぢ㜲敥摢〴敦㄰扣ぢ㠰慣散㙢㕡㜲摥〳慥戳㔲ㅦづ搶㐷愳㠹㜸㌰㥤捡㐴㈲攱㜰㝤㍡㔹ㅦ㑣㘴㙡搲戵㌵挹㜰㈶ㅤっ㡣戳摥扤て㥤挰㜸㡢挹㜴㥢㘰㌱昲慡昶〳戶㜶戲挲㙡㕢晣ㄵ㘴㘵㝦㑢晦㄰敤换捦ㄴ扡㍢㌲㜶㤳㐰㤷㌸㝦〲㍡て愸慣づ〲㤴㠸㙥攸㡢愸昳ㄹ㐴㑡て晥昵㡢㠶昹㘰㔸㤲㌰㝦づ攵ㅥ㔵㠱㐳㠰攳愸捣昹て愰㡥㙢愶㌶ㄹ愹て搵㠶愳㠹摡㔸愴㍥㤳慣㡦㠶ㄲ挱㔸㍣㤵㑥挶㙢搲愹㔴搲昹挲ㄳ㑤㐷戱戲㠵㌲攱㐸㌴㤲㠸㈴㌳挹㐴〴换㕤㝤㍣ㄹ慤つ挷㙢㘲愹㤰昳㘵㔶戴㉥㤲づ搵愷㌲挱㜸㍡ㅥ愹ぢ愶ㄳ㤹㐸㙤戰㍥㔶㥦㠹挵ㄲ挱㘰㉡收㝣攵㠹㠶愳昸昵搳㔴㈸㔵ㄷつ搶㐵攲改㘰㍣ㅡ㡡㈷㘲戵㠹摡摡㔴㑤愴㌶㥣〹ㅣ㙡㥣㜶扦㠶㡥晢つ挱户〴摦〱〴㈶㕢收昷㈴晤㐰昰㈳挱㑦㘴ㅥ㘶㤹愲㈴敡㔴ㄲ昵昲㈴㤸慢扤㍣㌱攵愵㔰挲㌷改愹愴㑡愹㜴㤷慥㕤ぢ㥥挱捥扤㔴㐱攵愹㕣搶㐸㍤慡㐳㔸摥ㄹ改改昸捡挳㉡㜱ㄴ㘴捦㠷㔴收晣㜳㔷搲敦㔵〰㤵㠱㤴敤ㄵ愷扥挳㥦挰散㠵昵ㅡ摦愷㙢㝦〵㐰㑥攴搹㈵㈱㙤攵扢㐰㔴扥ㄸ㐰㝥㔱㔱㝥㕢㔱㑤〱㔳慦ぢ㍦晤攲㕦ㄷ昸㡢扡㕣ㄷ愶㠲㉦敢㐲㈵〸㙡ㅡ㌰ㄹ慦摤㠰㜹敢挲攱㤶摡㥤㌲昰㔶摥㑤愰捡㈸晥ㄶ㠶扤㜵㠱㑢戸慣ぢ㕦㠳㕡戸㕡㌷㐳㐹〶㙣〰愶摣㜵〸㝡ㄱ慣ぢ㠰㜵愱挵戴攴慣〷㕣㡦摦㐸㌰ㄴ慦㠹㈴ㄳ戱㥡晡㜰愴㈶㔴㔷ㄷ㡤㠶敡㙡㠳㠹㌴㔶㡡㜴戸㈶ㅤ㤸㙥扤㕢ㅦ㍡㠱㈳㉣㈶慢㜵慢挵挸慢㙡〳戶㜶搶㠵㜶㔸挶㕦挱扡㌰挳搲㌷㐵晢昲愳㤴㙥ㅤ攳㌷ぢ㜴㥤㤵て㜲戲戲㈵挴㤸ㄵ㤶㤸㑡㔶慡㐱㔰㐷〲㤳慣昴〶收㘵攵㈸㑢摤㡡㌲戴捡昷㌱愰㑡㔶摥昵㘷挵㕢慤摦㉥㥡㤵㘳愱㈴㔹搹ㄶ愶摣扥〴摢ㄱ㙣て㠰慣ㅣ㘷㕡㜲㜶〰㙥戲ㄲ慤㑤㠷愳攱㜰㈸ㄵ㠹㘱愹〸㈷㤲㠹㥡㜸㌸㤲〸搷挷敢㈳改㑣㕤㘰慥昵慥ㅦ㜴〲挷㕢㑣㔶㙢愹㈵㘵戴挸慢㍡ㄱ扣戵㤳㤵㤳㘰ㄹ㝦〵㔹㌹搹搲㐳㘸摦ㅤ㐴㠹㠱〰敡㔴搰㜵㔶㥥换挹㑡ㄴ㘲捣捡㘹攰㑢㔶㙡㐱㔰昳㠰㐹㔶㘲挰扣慣㥣㘱愹㜱捡挰㉡㜰摣㍣〷㤴慣㍣改捦㡡㌷㔷ㅥ㉦㥡㤵戳愱㈴㔹搹つ愶摣〱〴扢ㄳっ〴㐰㔶捥〱㥢捤㍡㠳㠰敢慣挴搲戵挱㜰㌰ㄵ慤㡢搴㐷㈳戵㤱㔴㕤㌰ㅥ㑣搵搶搵愶愲㠹㘰ㅣ㈷〱㘷戰㈷ㅡ㑥㈷攲昵㌵搱晡㑣㉡㔶ㄳ㠹㠵㙡ㄳ㠹㥡㔰㌸㔴ㄷぢ搶挵㤱挵㑣㈸㜰慥㌱敦づ㘱㥢㐳〱〲攷㔹搲㌰㤲㠶㤳㌴摦㤲㈸㈰愲㔵攷㠳戴㜶昲戹〰㤶昱㔷㤰捦ぢ㉣㝤㙦㍡㌱㠲ㄲ挳ㄹ昵㡢㐰㤷っ㡤〶㕤㘶〷愹㤷㠰㉡戹戸换㤷ぢ㘷㉣㐴㑡㥦㝤敦㈸㥡愰㠵戰㈴〹ㅡ〷㘵㥣㝤㉦〵捥攵捦ㄹて㕣㘷㈴ㄵっ搵〵㔳挹晡摡㜰㉡ㅡ〹㈷㐲㜵搱㥡㥡㜰㉡㤶挸搴搶㠴㈲㜵愹愸㌳挱ㄳ挵㘹㌶㕡ㄳ慥㡤搷㘰㙦ㄱ愹慢慤㡦〷㙢愲愹㐸㕤㌲㠱㉤㐷㈸㔱ㅢ㜶昶昳㐴㤱攳㔰㍡㠴㉢愳㜰㝤㉡ㄲ㑥㈵攲愹㜰㙤㄰㔹㑥愷㠳戱㜰扡愶摥㤹攸㠹〶攳㌵㌰㤴慣㐳㡡挳㤱㘴戸扥ㅥ㡢㘷愶愶㌶ㄴ㐵扥敢㐳挱㐴攰㌲攳戴扢㍦㜴摣〳〸㈶ㄱㅣ〸㄰戸摣㌲て㈲改㘰㠲㐳〸づ㈵昳ち换ㄴ㈵㔱愷㤲愸慢慢挰攴ㄹ㔸㕤㡥搰昱散挸愱敡愶挸㑦〳㔴〶㔸ㅡ换㘰改ぢ㕣㥥攵㝣㔷戹搷㔸收㌴搲昹㕤㌷昲〳戶昲㔳戶敡㍡㌰昵㌴㥤て摢搹㑢摤ㄶ摡挵㌴扤ㅥ㝣㤹愶搳㐱㔰㌷〲㤳㐱㜰〴㌰㙦㥡摥㘴愹慤㤴㠱㝤㜹摦〲慡っ㡤戳㝣㐳挳昵愶改ㄹ㐵㐷〱换㔶㘵ㄴ捣㠴㈹㜷ㄶ挱㙣㠲㌹〰㤸愶户㤹㤶㥣㈳㠱㥢㘹㕡㠳ㄹㄶ㐴搲敡ㄲ㌵㤱㜴㍣㥡㠸挶搲戸ㄶぢ㈷攲改摡㜸㈸ㄶち摣㙥扤㍢ち㍡㠱㍢㉣㈶愷戴㍢㉤㐶㕥搵㕤挰搶捥㘴扢ㅢ㤶昱㔷㌰搹敥戱昴攳搱扥晣〴戰㍢㡥昱扢て㜴㠹昳㐹愰㝢ㄱ晤ぢ愸ㄲ搱愳㝣ㄱ㜵㑥㠱㐸改挹㌶愷㘸㤸㔹晡㉡㘱㍥つ捡㤸㙣て〲㤷挹㜶㍡㜰ㅤ搷㌸戶㜴搱扡㜸㌲ㄲ慡㑢㐷㤲㤱㘸㝤㌲㤴㑣㈷㙢挳挹扡摡㔰㉣ㄶ㡤㌹昳㍣搱㔴㉣ㄸ㐲搴ㄳ挱㥡扡晡㐸愴㠶㡢㕥㈴㤹挴愵㙢㈴㤱愹㡦㈴敢㥤㌳㍣搱摡㐸戴戶㉥㥡㠸㘰ㄶ攲㈲㌷㠳昳㕢〴摢㤴㜰㙤㙤㈴㤳〸攳㜲摡㌹搳ㄳつ愵挲搸慢㠴㈳改㘰〲㕢㤸㥡㘴㈲㕤ㄷ㑥㈶敡㙢㔲挸㜳戸㌶ㄱぢ㍣㘴㥣㜶捦㠲㡥㝢㌶挱㌹〴攷〲〴ㅥ戶捣昳㐸㥡㑦㜰㍥挱〲㌲ㄷ㕢愶㈷慦搵㘹㐸㉤〵㔳㈶摢ㄴ㠴捥㥢㙣ぢ愹㝣㈹㐰㘵㘰㤹搵㤶摤㘴摥㘴㝢搴㌲慦愴㠲㑣㌶㝥〱户晣搶戲㕡づ愶㥥㙣〷挳㜶㜶戲㕤㐷扢㤸㙣㉢挰㤷挹㜶㍤〸敡〹㘰㌲〸㙥〰收㑤戶㈷㉤昵㐶捡搸挹昶㌴愸㌲㌴昶昷つ㡤散㘴摢慦攸㈸㜸〶㑡㌲ち㙥㠵㈹昷㌶㠲摢〹敥〰挰㘴㝢搶戴攴摣〹摣っ㡡㐸扡㍥㥣㐸㠷敢㌱攷㈲昵戵昱㜸㙤戲㉥ㅥ捥㈴㤳昵搸晣愴敡㔳〱愹愶㘵㝦敦㠲㑥攰㜹敢慢㑣戶ㄷ㉣㐶㕥搵㡢挰搶捥㘴㝢〹㤶昱㔷㌰搹晥㙡改㝦㐱晢敥㘱㤴㤸っ愰㕥〱㕤㘷㘵㐴㑥㔶ㅥ㠶ㄸ戳昲㉡昸㤲㤵挵㈰㈸ㄶ搳㑡㔶㤶〰昳戲昲㠶愵㍥㐲ㄹ㕡攵晢㙦愰㑡㔶〶晢戳攲㕤㍦づ㉣㥡㤵户愰㈴㔹㜹っ愶摣攵〴㉢〸ㅥ〷㐰㔶摥㌶㉤㌹㑦〰搷㔹挱捥て扢挷摡㑣㉤㙥戲㐵㤲㐸㐹㌲㥡㑣挷㜰㤵ㅦ㑤搷挵攳㤱㘰攰ㅤ敢摤㤳搰〹扣㙢㌱戹㝥㝣捦㘲攴㔵扤て㙣敤㘴攵敦戰㡣扦㠲慣晣挳搲㥦㐷晢昲㘳摦㙥㥡戱晢㈷攸ㄲ攷㤷㐰昷㈲晡㈱愸ㄲ搱㥤晤ㄱ攵㙥㕦昶㐹㍢ㄵ㡤攸㐷㔰㤲㠸扥ち㔳㔸敤㍥〶㉥慢摤㙢挰㜵〸㠳〸ㄹ敥㑢搶搴㘵㌲㌵㤱㔴〸㉢㔱㉡ㄹ㑤愵㘳搸㔷㠷挲㤹扡戴昳扡㈷ㅡ㡢攰㥡㍣㕤ㅢ㡢〷㐳㌵㤱㥡㘸㕤㕤㈴㤴㡥㈷搳㠹㐸㌴ㅤぢ㈵敡攳捥ㅢ㥥㈸㙥㜵攲敡㈰〵㘱㈸搵挵敡敡㔲攱㜴㌲㕤ㄳ慦㡢㠶㙢㈲戸〷敡扣改㠹挶攳昱㘰っ㜲㔸㌹㔳ㄱ㑣慣㝡攸搶搵㈴搱㐲慣㉥ㅤ㡡㘵〲㥦ㄸ愷摤扦㐱挷㝤㡢攰㙤㠲㜷〰〲㥦㕡㘶戱㡤晤㘷㤶㤹㔵ㄲㅢ搴㔴晦〱㔳㔶扢㑤ㄱ㍡㙦戵晢㠸㤶㍦〶愸っ㝣㘱戵㡢慤㜶㕦㕡收攷㔴㤰搵㡥摦㠸㉥㍦愰慥扥〶㔳捦慢〰㙣㘷㔷扢慦㘹ㄷ昳敡ㅢ昰㘵㕥㝤〳㠲晡づ㤸攴晢㕢㘰摥扣晡摥㔲扦愳っ挷〵摦㍦㠲㉡愳愰㥢㝦ㄴ㜸㤷ㄶ㙥搱㔱挰㐲㕢ㄹ〵㍦挱㤴晢㌳挱㉦〴扦〲㘰㕥晤㙣㕡㜲㝥〳慥〷㐵㝤愲〶戳慡㉥㡥ㄳㅢ昶㘵攱摡晡㥡㐴㕤つ慥㌹㤳戱㔴㌴ㅣ慢㡤〶㝥戱摥晤づ㥤挰慦ㄶ㤳搵敥㌷㡢㤱㔷昵㍢戰戵㌳慦㔶挲㌲晥ち收搵㉡㑢敦㡣ㅢ攵昲挳昳㙥㉢㘳愷㌰昲㜵㔶㝥昹搹㥦㤵慥㄰㘳㔶㍡㠱㉦㔹愹〰㐱㜵〱㈶㔹㜱㠱㜹㔹㈹户搴㑡捡搸慣㜴〵㔵戲昲㍤っ㝢昷㌰扣搵敥㕢㔰ぢ敦㘱㔴㐰㐹戲搲ㄳ愶摣㉡㠲〰挱㍡〰挸㡡㙢㕡㜲㝡〱搷㔹㠹㐴攳㤱摡㈸慥ㅤ搲戸愲慦㡤搵挴㜱㌱㠲敢㜱摣ㄵ㑢㠴㠳搱㘴㌴㔰㘹扤㕢ㄷ㍡〱㔶摣㑡て㘴戵敢㙥㌱昲慡㝡〰㕢㍢㔹㘱挱㙥戱慣㔴㔹晡挶㘸摦攵搷扥扢戳ㄹ扦㜵㐰搷㔹昹㔷㑥㔶㌶㠷ㄸ戳搲ぢ㝣挹捡ㄶ㈰愸昵㠰㐹㥦戶〴收㘵㘵㝤㑢慤愶㡣捤捡㠶愰㑡㔶摥昷㘷挵㥢㉢敦ㄶ捤捡㐶㔰㤲慣昴㠱㈹㜷ㅢ㠲㙤〹晡〲㈰㉢ㅢ㥢㤶㥣敤㠰敢慣搴〶㐳挹㔸㉣㤵挸挴攳㌱摣昲慣挱㥤搱㔴㌲㕤ㅦ捤㈴㠳挹㑣㈶㥤〹㙣㘲扤摢ㅥ㍡㠱㑤㉤㈶㜳㘵㌳㡢㤱㔷戵㌹戰戵㤳㤵㉤㘰戹㔸㔶戶戴昴㥤搱扥㝢ㅣ戳㜲㉣攳搷ㅢ㜴㥤㤵ㄷ㜲戲㔲〳㌱㘶㘵㉢昰㈵㉢ㄱ㄰㔴ㅦ㘰㤲㤵㈸㌰㉦㉢摢㔸㙡㉤㘵㙣㔶晡㠲㉡㔹㜹扡㘸㔶㥥㉣㥡㤵敤愰㈴㔹搹〵愶摣㕤〹㜶㈳ㄸ〰㠰慣㙣㙦㕡㜲㜶〷㙥㔶戰㝡㕣㝦挷㜱ㅢ㍡㤱〸㐶攲㘱摣㔹挲㡥ㄸ㜸㉡㤹慣㠹㐶㘲挱挰づ搶扢㠱搰〹戰㤶㔶㝡㈰㔹搹搱㘲攴㔵敤〴㙣敤㘴㠵愵戸挵戲戲戳愵て㐷晢敥挹捣捡㐹㡣㕦〸㜴㥤㤵〷㜲戲㌲ㄲ㘲捣㑡ㄸ㝣挹捡㕥㈰愸〸㌰改搳摥挰扣慣㐴㉤㜵ㄴ㘵㙣㔶㘲愰㑡㔶敥㈹㥡㤵扢㡡㘶㈵づ㈵挹捡㔸㤸㜲昷㈵ㄸ㐷㌰ㅥ〰㔹愹㌳㉤㌹ㄳ㠰敢慣愴㠳挱㔸㉡ㅥ慣挳扡ㄵ㡦愴搲㠹扡〴捥㌴戱㘴っ昴摡晡㜰慡㈶戰㡢昵㙥㍦攸〴㜶戵㤸㘴㘵㌷㡢㤱㔷㌵〰搸摡挹捡敥戰㕣㉣㉢〳㉤晤㈰戴敦㥥挱慣捣㘳晣〶㕢扦づ〵摤㡢㈸慢㘸㈵愲㔷昹㈳㍡ㄶ愷㐴戹㕥㕢㔴㌴愲挳愰㈴ㄱ慤㠷㈹㕣慦つ〷㡥扦㌲㈷〹㕣㠷戰㈶ㄱぢ㘶戰㈵㡤挶㌱㡥㠳愱㔸愲扥㍥㔹㠷つ㘲愶㈶㥣〸㐷㜱㘵㤵昲㐴㠳搱㔴㄰戲㜵愱㌰慥愶㜰㘷慥㉥ㄶ挱㡥㈵ㅣぢ㘵㙡㈳改㜰㉣散愴㍤搱㜴㉣㕡㕢ㅦ㤱ㄳ㝣㡣㝢㔸攴愸愶㍥㔶ㄷち〵㜱慥㐹愶愳㑥挶ㄳ挵晤〵散㙥昱戱㑥〶㜷㙡㌳搸搲㠶㐳昸㘸〶㜷搳㐳昱㔴㄰㌷愸〲㈳㡣搳敥ㄴ攸戸㔳〹ㅡ〸愶〱〴昶戰捣㠳㄰㠹晣㕢㐱㝢㕡愶挸㡢㈶㤵挴㤰㘲㔹慦㕣慦㥤㠵搰㜹搷㙢敤攴捦〰愸っ㡣戲摡挵慥搷昶戱捣㈳愹㈰搷㙢昳ㄱ㔸昷㍣〰㌵〶㑣㍤慦㑥㠰敤散昵摡㜱戴㡢㜹㌵ㄶ㝣㤹㔷㜳㐱㔰攳㠰挹扣㍡ㅥ㤸㌷慦挶㕢敡〹㤴愱㔵扥昷〳㔵㐶挱㌱晥㔱攰㥤㠳㡥㉡㍡ち㈶㐲㐹㐶挱㈹㌰攵㥥㑡㜰ㅡ挱改〰㤸㔷晢㥢㤶㥣㜹挰昵愰挰㍤〵㕣〵㐴昰㠹ㄹ㙥㔸㠴敢㙢㜰扤ㄶ㑡㘲㡦㕡ㄳ㡡㐵㙡㜰㥦㈱㜰㠰昵敥っ攸〴㈶㔹㑣收搵㠱ㄶ㈳慦敡㈰㘰㙢㘷㕥ㅤっ换挵收搵㈱㤶㝥ㅥ摡㜷㉦㘶㔶昸昳〵㙡戲昵㙢〱攸㕥㐴ㄳ愰㑡㐴て昷㐵搴戹㄰㈲愵㙦〵㌵ㄴつ㜳㍤㉣㐹㤸㉦㠶㌲㈶ㅢ慢㜴昱㔷收㕣〲摣㥣㐵㔲愹㔴っ㌷㐵㙢㠲戵㌵㤱㝡摣〳㑤㈶挳戸㘵㤳挰慥ㄳㄳ㉥ㄴ㜷ㄶ㘶㐵㤳戸ㅤ㡢㍢〲㤸〳㌸昳愴㔱〳㄰慡慤㡦攱戶㙤㌸㠶敢㠰扡㠴㜳愹㈷ㅡ㑣搷挴㙡㔳㤸㘵改㔴㙤㈴ㄶ㡤㈷㐲愹ㄸ戶㐸㤸捣戵挱㈸戶㔸捥㘵㔹搱㘴㙤ㄴ㉥㐴㐳挱㔴㕤㈴㠹挹㕣㤳捥㘴昰愱㐹慣ㄶ攵〷搸晣〶㔲挶㘹昷㜲攸戸㔷㄰㉣㈲戸ㄲ㈰㤰戶捣慢㐸扡㥡攰ㅡ㠲㙢挹捣㔸㈶㐵㝤㥡㌴愴ㅡ挰㤴挹戶㍦㐲攷㑤戶㥢㈹㜹ぢ㐰㘵㘰㥡搵㉥㌶搹㔸㕤㡣㍦搴挶㔰㐱㈶摢㈲愲㔷㌰慤㑤攰挸昴戹㤷つ㤱挲㜷ぢ愸㤲搶扤㝤㘹㜵㜹㠷㑦㤶换㤱㐵㌳㌸ㅤ㑡㤲挱〷㘰ちㄹ㍣〲㌸晥捡㥣〷㠱敢っ愲昸〶戹ち㘱㙤㐲㌹㐰扡㍥㠲昲㥢㜸㙤㌴㤹慣つ㠵㜸㠹ㄶ㜳ㅥ昲㐴㔳戸㙤㄰〲㉦㤵っ〷㈳戸慢㥤愸慢㡦㘳㤳㥢慥㑢〶㜱昳㍤㥣㜰ㅥ捥㡡攲㥥㑦㙤扡㌶ㅡ㑥挷㜱㈵ㅥ挱捤扣㔸㉣ㅣっ愶㠳㌵㌵戵昵昵挱戴戳㌸㉢㕡㤷㠹㠷昰愹㐹㉣ㄲ㑢㈳㘱昰㈶ㄱ〹㐶挲搱㜸㥡㜷晤戰㕣戶ㅡ愷摤㈵搰㜱ㅦ㈱㔸㑡戰っ㈰搰㘶㤹挵㙥收戵㕢愶㈷慦搵㘹㐸捤〲㔳㌲ㄸ昳㘷昰ㄹ㕡㝥ㄶ愰㌲㌰摢㙡ㄷ换攰ㅣ换㝣㠹ち㤲挱敢ㄱ㔸昷㍡〰㜵ㄴ㤸㤲挱㔷挱昴㌲㜸っ愸㤲挱㝥晥っ㝥〶慡㘴㜰晢愲ㄹ㍣ㄶ㙣挹攰㥢㌰㠵っㅥ〷㥣ㅡ捥摦㠰敢っ搶挶挳㌵挱ㅡ摥捤挱㥤㌷㝣摣㄰㑦㘲づ㐴㜰摦㈱㠸ㄳㄶ㑥㙣捥㕢㥥㘸ㄲ㘷㉢㉣㝥㜵㠹㔴㉣ㄵ挱㈷㡡愸㈳㠸㠴攳㘱摣㝣㠸㈶㤲改㔰㡤昳戶㈷ㅡ㡦搶挷攳搱ㅡㄴ㡢㘴㔲㌸敦搵愳昸㈰㠴捦㐷㠲戵愸㐷㐰㝡敡㥣㜷㍣搱㕡㑣搴㘸戴〶搵ぢ㜵㥣慥戸攳捥晢ㄸ㐸㘳ㅡ昷㘴ㄳ愱㜰㘰慥㜱摡㝤ㄷ㍡敥㝢〴敦ㄳ晣ㅤ㈰㜰扣㘵ㄶ扢㐱㜱㠲㘵㡡扣㘸㡡つ㙡慡㤳挱㤴っ㙥攸捦攰㘷戴晣㙦㠰捡挰㈹㔶扢㔸〶㑦戵捣慦愸㈰ㄹ攴㡦㔳戸户〲愸搳挱搴㈷扣敥戰㥤㍤攱㝤㑦扢㌸攱捤〳㕦㑥㜸㍦㠰愰捥〴㈶昹晥ㄱ㤸㜷挲㍢换㔲㝦愲っ慤昲㝤づ愸㌲ち扡晡㐷挱慤愰捡㈸㈸㉦㍡ち捥〵㕢㐶挱㙦㌰攵晥㑥戰㤲㘰ㄵ〰㑥㜸攷㤹㤶㥣㌲㔴戶敡㐱㤱〸攱㔲愳㌶㡣㑡㤱㌴㍥愵挴㡤㍦㑣搱扡㝡㕥攳㐷㜸戹ㄳつ捣㌷㍡慥㠲㑥攰㝣㡢挹㔶㜸㠱挵挸慢扡〰搸摡㌹攱㕤〸换挵㑥㜸ㄷ㔹㝡㔷戴敦昲㤷㌱摣扢ㄹ扢㑢慣㕦㤵愰㝢ㄱ扤ㄴ㔴㠹攸昷㍦昹㙥㉥㜸ㄷ㤲摦㠲㕡㜸㜳攱㌲㈸㐹㐴㝢挲ㄴ收搵攵挰昱㔷收㔴〱搷㈱捣攰㐲㈱ㅣっ挷ㄳ戵搸㈱㘱晣搷攱㔳摢㐴㌰ㄵ㑣挷ㄲ挹㄰挶戹ㄳ昰㐴戱㘶愵㔳㘹㥣㝣㈰㡤㙢扦摡㝡ㄴ敡攰晥㔰㍣㥤〸㐵敡敢ㄳ㐹㘷ㅤ㑦戴づ㉢㘶愲㌶ㅡ〹攱㌳㤰㐸ち户昳㈲㤹㘸㌴㡥捦愳愲挹㜰〸戵㍤㑥㉦㑦ㄴ㜷て㘳搱㝡㑣㙡㝣㘴㠲摡㈲ㄴ昵挴㜰㝦扤扥㍥ㄵ挲㡣挳㉣ぢ㕣㘱㥣㜶搷㠵㡥扢ㅥ挱晡〴ㅢ〰〴ㄶ㔹㘶戱ぢ挹㉢㉤㤳愲㕡㐹搴㘹㐸戱攰㕡收搵㍦㄰㍡敦摣㔶㑤挹摥〰㤵㠱㙢慤㜶戱㜹㜵㥤㘵㙥㑢〵㤹㔷晣ㄵて㤷扦〹愲㙥〰㔳㘶捡づ㙣㠸ㄴ扥㙦戴搴㝥㠶捡㐱ㄱ戸〹㔴㐹搱㡥㌴戴ㄳ㐰㡦㥥㠱㥢㉤戱㍦昱慡㜲㤶㤹敥㕡晡㤷ㅣ㝣搵㤷晤㔰㑣㡣敦愸㑥愷昰慤戱搳昱㥤敥㜳㠶㌷户户昲㜹挳戲捥昸搶㔸晤晤㝡㕤㍡敤昲攷㙣戱㑥㠹㕦戵捣㜷昹㕦ㄱ戶晦ぢ㍢っ㐹戶㜲㠹ㄶ㔹扤㔴㠱㐷㌹敥㐰㘷搹㘱昵ㄲ㕡㘰㉢晣攵㤰ち慣〱㝣晤戴㑡摤㘹昹㉦ㅡ㝥ㄵ攸㍥晥㕤㤶晦㠲攱㙦㥡挳㉦扦〷晣愲㕦摢慥慢㕤挷攳换㜸搳晤㠷づ㠹昵ㅦ㍥㍢㤹㙥ㅣ㡡慦挸㐷愹㉢㥢㕦扦㘹㘴ㅢづ搳慤㙤ㄳ㕡〶换ㄷ户戳㜶㙡ㅤ㕢つ摢慦㘹㡦ㄹつ㈹㐴㜹㥢㉣挵晥㍥㠲㔵ㅢ搳敡改昵挸㑡攱㥢㥥搷捦㘲扥㙦㍦摣㌴㑢挵て㘱㈰㥤改㤴戵搸挶㍢㤹㥤㍡慢愲㕦搲㌹慣愵㈹搱搰摣㝦㐴㙢搲ㅡㄸ摥㍣愳㘹㑢昴㘱搳㈲摦〴㍣愴愱㕤扥㐹㝢㌳昰㤵㝢㌷挲攳㐴㌰敥昲㝦㙤㈷㔶晥㉣〲晡〷摡换㑤㌱㕢攷慢搲慤㠵㜱挵㈵㤸昶㐸㔲て〲改㠳〳昷㜵㠲散㙦昲㍣〱㠱户昱挵㡢〵扦戱晣戸㘱㑣㍢攱晡扥捦㌶晣㘷搸㤲〳㜶晦㐹㔵ㅦ㤳㔰㑢㘰㠹敤扡扢戱ㄱ摡收晢ㄱ㑢ㅤ㘰愸㌲昵㤶㠲㉡㔳㙦㜷㔰摤㠱〰㤸㝡换㉣㜱㄰昱㉡戵〲戸㡣挶愵㘸㤲愳搱づ搳挷㉤攳ㄱ挳挸ㅢ愶慣ㅢㄶ挵㈵㠶㥦㌷㑣㥦戴晣挵㠶㥦㍢㑣搵搳攰㜳愸㉡昷㈹㐰㘷〴摣挹捦㐸㐸㍤〸㕤ㅢ挵㑡㜷㑦挸愸㘷㈰㙤㐹敡㐵㈰㝤ㄸ㡥扣挰摥ぢ扤愲㠱扤挷㌰昶晣㜸㠷ㅢ〷㉤ㅦ㌷散散攱ㅦ晥搴㘷㔱晡㌸昵ち㉣㐹㘰㐷戳ㄱㅢ搸㔷㉤㜵㡣愱㑡㘰㕦〳㔵〲㍢ㄶ㔴㜷㕦〰〴昶㜵㑢ㅣ㐷扣㑡戱㤶㔷攲㜳㥢改扦つ散摢㤶㜱慢㘱攴〵昶ㅤ换扦挵昰昳〲晢慥攵摦㙣昸㜹㠱㝤ㅦ㝣ㅤ搸昷㜰攴ㅣ〰㜷昲〳ㅢ㔶㌷㐰搷㐶戱搲㍤㄰㌲敡㐳㐸昷㈹ㄲ换慢㈱㕡㌴㤶㔷ㄹ挶㕢攳㠳㥢慦㍣敤昷㈱户㥥㜲敡愹㉢戶改㝢㑢攰ㄳ㔸㤲昸ㅣ愶㐳昱㌹㜰〹挵㈲攳㌱攷㡡㕢捦㐶扦〶㑢㍢晢ㅦㅣ㌹㈹搰㥣〱㝤〶㡦敢㔳㕢㝥㈹㠴昳扦㜴㕢㝥晣挰捣㝥㔶愳㜲㉤㘹㙤㘹ㅣ㤹㘲挶戲换㉤敤㌳㔳㤵㙥㠶㡤㝣攳㌵昲〵ㅢ㤹㙡ㅡㄹ摦愷㔶㕤㠴㐶搸㄰攸㤰㥥㐶改㙦㍤改㉦㈹摤〸摡〶㜹㕦㥤㕡扤㙤㜵㥦愱㜰昱㝣㘸㜶戴㘰愰っ搵扦㐰ㄵ㍡㠹㔶搱㙣㌳㥢晤捥㙢昶㉢㌶㍢摤㌸戹㉦㥣㍣挷㌸挹搳㕣愵摢㑡㘹㕥㘶㕢扦搵て〶㘱㤷搵㡦〶愱戰晡〹〸㥤挴㜱㔹搵㑡㈰㕣攷捤愹㠶㌴扥昸㜳ㄳ昲ㅡ愴晦慢㌰晦〷捣晦敢つ慡㘲㜸㐴昳㄰搵㝢晥攰昲扦ㅦ㤷晦㌳㘶㕡戳捥㘸㡣㌴晦㑦ㅡ愴扡㘰㙢摢〷㕣㍤㐱㝢㈳〲㜲㌱愱收挱愹愲㠳敡㜴挳ㄸ扡摥挴ㄵ攳㝥晤㜶昰挲㥤攷戶㉤㤸㌹晢慦㡡㌵戸っ愰㍢㥢晤挷㠱扣㉢㉤㜵㡥愱捡〴敤〶慡っ挰㈳㐱㜵㡦〲挰〴敤㙥㠹㐷ㄳ慦㔲〱攰㌲㉡㑦㐴㤳晥㤵㙦ㅤ换㌸挱㌰昲㈶㘸㉦换㍦摥昰昳㈶㈸换㜳挵昰㕣挳捦㥢愰㉣慦搵㘳㝥㍤ㅣ㌹㈷挰㥤晣〹ㅡ㔱挷㐰㌷㍢㐱㑦㠲㡣摡ㄴ搲搹㔸㘶捦㈲戳㈱㕡㌴㤶戳っ㈳㜰昷挵扤戶昸㘵搹攸㝢㍦㑣㍥㜶㝡戴㜹㠹㘲攵慣挴㜲ㅥ敤摡㔸㑡昹㉣㈳㝣㠶愱㑡㉣㝢㐳㔶㘲㜹㈶愸敥㔹〰㠸㈵慢㘸㠵㜸㌶昱㉡戵㉤㜰改昲ㄱ愶换㜶戱敢㙢ㄹ搳つ㈳㉦㤶慣㥣ㄵ挵ㄶ挳捦㡢㈵㡢㙡㠵摦㙣昸㜹戱散〷扥㡥攵づ㌸㜲ㄶ挰㥤晣㔸搶愹挳愱㥢㡤攵㠵㤰㔱㈱㐸ㄷ㡢㘵〶愲㐵㘳㤹㌶㡣捦㍦㍤昹改捥㥤摦搸昳敡㙦㉥㘸晦昷昹㉦㕦愸㔸敦㉡戱扣㡣㜶㙤㉣愵攸㤵戱扣摣㔰㕤㈰㠱ㄸ㘴㈵㙣㔷㠰敡㉥〲㐰㉣攳㤶㜸㈵昱㉡戵ㅢ㜰改昲㘴搳㘵ㅢ换〱㤶㜱愸㘱攴挵㤲昵慥愲㜸㠸攱攷挵㤲愵戰挲㍦搸昰昳㘲挹摡㔵ㅤ㑢ㄶ挹㍡搷挳㥤扣㕦㌰慤㔵㤳愰㥡つ攵㡤㄰㔱㉣㘶搵㙡㠳愹㜶㌳㘸攵〳晡㡣挱昲戸ㅦ㠴㜷㉡㝤㈹㡥换㌷昳㘸愰㕤㈴昹㜵慡扥㘵㥣㔷捤㝣㔵扡户戲愱㘱㌰㑦㤳㈴㈹ㄶ搴㕡㐷搴摥㐰㡡㘵㜳㉣愴㡢㘶㜳㡣㘱ㅣ㌳敡攰㝤㍥ㅣ㌳㜸慦㝢㙦㔸戵昳捡つ扦敦ㅥ㘰昱慢㘴攸㙥戴㠸㘴㡣〳㉥㌱摢〷ㅡ㕣㈴㜸㙡㜱敦愵㍢晢㠳愵晢捤ち㔶攷㝥搰扡捡愹㉢㔴愷㐶㐲㤲换戳㍥〹㍤㐰昱〳㍣昱〹ㄴ㝦挸㠸㡦敦〳昱攱㐶扣㡢㜴㜶㌱挵㈷㜹攲慣㘴㜵ㅥ〱㙤挳愲㘷㈱愸て㠶扡㕤攵㉢摤㘵㔴㍦搰㔳㘷㜵慢昳㤸㘹㙤㕦戶㌶挰戴愶㑦㈷㉢㈸捥摤愵㜷㍡㌹搸㈰㜲㍡㌹挴㈰㜲㍡㘱㈵慢㙤愸㉡〵攴捦㥤㑥㔸搳扡收愷㤳戹㠳〷㈱㉣㘵㘵㜳㐷っ㔲搳愰㤹㑤㜴昶㜴ㄲ㐷㤷㡡㈶㍡㘶ㄸㅢ㥦昲㕡㔵搷攳㉦ㅤ㜹㝡㙣搵摤户㕤㌱扤㕡戱晥㔵愶敤㌳散㍦捣换㝢扡愵㍥㙢愸戲〴ㅥ〱慡っ㡡攷㐰㜵㥦〷挰戴㙤戵挴ㄷ㠸㔷㈹ㄶ戴捡㐸〹愱㐹晦改㘴㤶㘵〴つ㈳㙦摡捥戶晣㥤つ㍦㙦摡捥戱晣晥㠶㥦㌷㙤㡦〲㕦㡦挳㈳㜱攴扣ち㜷昲㤷挰愰敡〷㕤㍢㕤㉡摤搷㈱愳㔸㤲㥡㡤㘵昶㜴戲㉤㐴㡢挶㜲ㅢ挳昸㘱搴㘷挳㕦摥攰搳㔱㤷㡥扤攱㡡㝦摦㌷㜰㘶攰㈴㔸㤲昸扣愳㐳挱愲㔳〹挵搶挶㘳㤹㌴敦戱㔱㔶㘰㙡㘷㔹㠹敡晣ㅤ戴攲挳㍡ㅣ㔴㕢㐲摢㡥戶㑡昷〳慡戳〸㔴慢捦愳晡扦㐰攳㥣摢户て挴㌷㠵㌸挷戰ㅥ搶ㅦ㔱㥣攵㥦㕡㥣ㄵ慡捥㈷㐶㝣㍣挵㌷㌴攲㝡捥㝤㐶昱㜳㍤昱㌳㈹晥戹ㄱㅦ㐷昱㜵㡤戸㥥搱㕦㔰㥣㌷慢扤㐹㌳摦㈰㌲㘹㔸㠹㙡㕤㔱ぢ㠰搸㙥㔴㉤〴昲攷㈶捤愵㔶㜳㡤慥挱散愴㈹ㅢ㌶㐸戱㔲㌵㥢攸散愴改㠹㉥ㄵ㑤㜴て挳㜸晥攵㑤㐶扤戶攸摣㔱户㝦戴攸昵户㉥戹愹㑣戱㡥㔵㈶捤㜷散扦㥤㌴搷㕢敡昷㠶㉡㤳收〶㔰㘵㔰晣〰慡晢㈳〰㈶つ㙢㕡㠵昸ㄳ昱㉡㜵㉢㜰ㄹ㈹㕤搱愴㝦搲戰㔸㔵ㄸ㡥㘱攴㑤ㅡ搶戱ち扦摣昰昳㈶つ㑢㕣㠵摦挵昰昳㈶捤㕤攰敢㤱㜱㈷㡥㥣㤵㜰㈷㙦搲㠴挳㑡㐱㌷㍢㘹捡昰昵ㄲ敡㉦㤰捥挶㌲㍢㘹㝥晢戱㐴㉣㝦㌵㡣敦㑥㕣戱攴戸搷敥ㅢ昲㔰愷㘹ㅦ㍤攴挶㑦㔱て挳㤲挴搲愱㕤ㅢ换挵㤶摡搵㔰㈵㤶㑢㐰㤵戰㔵㠰敡扡〰㠸㈵㉢㔱㠵㔸㐹扣㑡戱㥣㔴扡晣㍤㥡昴挷㤲㈵愶挲昸捥㌰昲㘲戹挲昲扦㌵晣扣㔸戲㌰㔵昴扦㌱晣扣㔸戲戰㔴挷昲〹ㅣ㌹〱戸㤳ㄷ换㔰慤晡ㄲ扡搹㔸昶㠲㡣㘲㐱㘸戱㔸㝥〶搱愲攳昲㔳挳昸㜵改㤸㜵换㠲㡦敦扤㘴挸㍤愳㍦㉦㥦㜱㑢攰㈵㔸㤲㔰㙣愴㐳昱㉡㜰昱昸㘳攳戱㉣㐰㥢戰㔱㔶㐶㙡㘷㔹ㅣ敡㙣〶㥡㕥㐱㐲㜱昵㑦㐸摢㘹㕢改㙥㐱昱户㍣㜱ㄶ㠸㍡搵㐶ㅣ㘷敤戸㝡摦㠸敢ㄵ㘴㉢㡡扦敤㠹扦㐱昱㍥㐶㝣ㅣ挵摦㌶攲㝡〵搹㤶攲敦㜸攲㙦㔲㝣㍢搰㡡慦㠶㔰㝦〳敡㜶ㄹ愹㜴㜷㠰㘸搵㐷㔴挲挸攱摢昷㕡㠳つㅤ㑢㍦晦摣ㄹ昸㜳㘸㘶㤳㤶㕤㑣㕥㠶㝢㐵㤳昶㔷挳戸昵攰捤愳㝢㝣戰㜴㡦换敦ㅤ㔷㍢晥㤴攳搷㔷㕦挳㤲㑣㠰㈰㐳〱晦攵晤㡤愵㠶っ㔵㈶〰㙢㐶㈵挱㘱㔰摤ㅡ〰㑣㠰敦㉣㌱㐲扣㑡晤〴㕣戲晥㉣㥡昴㑦〰搶㠲ち攳ㄹ挳挸㥢〰扦㔸晥搳㠶㥦㌷〱㝥戵晣愷っ㍦㙦〲戰〲㔴㡦愹摦㜰攴散〲㜷昲㈷㐰㡤㝡ㅣ扡搹〹戰ㅢ㘴ㄴ㉢㌷戳戱捣㉥㈶换㈰㕡㌴㤶㑢つ㘳收㜶ㅦつㅡ㝤攴搲㘱㜷摤晤搴㜶㉦㝥昵攰㜱㡡挵㥤ㄲ换㈱戴㙢㘳挹㥢挶㐲ㅤ㙡愸ㄲ㑢ㄷ㔴㠹攵㌰㔰摤攱〰㠸㘵愵㈵㡥㈰㕥愵㔸慤㈹㈱㝢搰㜴搹㙥㐲㔸挱㈹㡣〷っ㈳㉦㤶〱换晦㡢攱攷挵㤲㜵㥦愲㝦扦攱攷挵㤲㜵㥢㍡㤶慣〸㜵㐶挱㥤扣㔸㠶㐳敡ㅥ攸㘶㘳㌹ㅡ㌲㡡昵㤶挵㘲㜹㍢㐴㡢挶昲㌶挳㘸敥ㅢ摣攱搲昶㈹㈳敥戸㜶挷㐷扥㕣昷搸㥥㙡㜳㔸㤲愸㑤愰㕤ㅢ换㉤㉣㜵㍦㐳㤵㔸㙥〹慡挴㜲㈲愸敥晥〰㠸㘵戵㈵ㅥ㐰扣㑡戱挶㔲扡㝣㠳改戲㡤㈵敢㉥㠵㜱扤㘱攴挵㤲㈵㤹挲扦捥昰昳㘲挹㙡㑤攱㕦㙢昸㜹戱摣ㅥ㝣ㅤ换敤㜰攴ㅣち㜷昲㘳ㄹ㔴㔷㐱㌷ㅢ换挳㈰愳㔸㈵㔹㉣㤶㤷㐱戴㘸㉣㉦㌵㡣戶攸ㄶ挳ㄶ㉦㜴㐷㕤昳昰㤳晢捤ㅡㄹ㍤㕣戱㤰㔲㘲㤹愱㕤ㅢ换㠸愵㑥㌱㔴㠹㘵ㄴ㔴㠹攵㔴㔰摤〶〰挴㤲㐵㤵㐲㥣㐶扣㑡敤〲㕣扡㝣㠱改戲㡤攵慥㤶戱挰㌰昲㘲戹㥢攵㥦㙦昸㜹戱ㅣ㘰昹昳つ㍦㉦㤶〳挱搷戱摣ㅤ㐷捥㜴戸㤳户㌹㡥愹㜳愰㥡つ㘵㉢㐴ㄴ㑢ㅢ㡢㠵㜲ㅥ㐴㡢㠶昲㜴挳搸晡㤹㔷户㍦晣搹〱㈳捦摣昷㠷㌳㑦扤㜶挵戵㙡㈴㉣㐹㈸㘷搳慥つ攵㕥㤶㍡挷㔰㈵㤴㝢㠳㉡㔱㍢ㄲ㔴昷㈸〰㠴㤲㤵㤰㐲㍣㥡㜸㤵ㅡぢ㕣㐲㜹愲改戱つ㈵㑢ㅣ㠵㜱㠲㘱攴㠵㤲搵㡦挲㍦摥昰昳㐲挹挲㐸攱捦㌵晣扣㔰戲戰㔱㠷㜲〲㡥㥣ㄳ攰㑥摥戰っ㐵搵㌱搰捤挶昲㈴挸愸㠳㈰㕤㉣㤶戳㈱㕡㌴㤶戳っ㘳攱愴㔵捤摦扥摣㜳昰ㅤ㝤㑥摢㜹晥ㄷ㥤㔷〶づ㠵㈵〹挵㍣ㅤち搶㈱㡡挷㌳㡣挷㜲扤㜰㈶ㅢ㘵㜵㥦㜶㤶挵㠹捥搹愰ㄵ扦ㅢㅣ㔷㐷㐰㌹㝢㠶㍥㤷摡㔳㍤㙤搶㉢㍡昳㐱搳户户攳慡〹搲扣搸㘰挲㉡摤〵㤴㙥昰愴㔹戲攸㕣㘸愴挷昷㠹慢〶㈳摤㐵愴㉦愶昴㌴㑦㥡㥦摥㌹ぢ㡤昴扥㤰㑥ㅢ㘹扤ㄵ扡っ㥣慡㜶捡㐰㤹㙦摦㙢つ慥ㄵ㔸㜶㈸㥡㙢戴昱㔸㌶㙥㤰㌶㡦㥢扦㐷㐲㉤㥢戰散戵挲㘱㜰慦㘸挲㈶ㅢ挶昹㈳〶㑦㤸昹攱㑥㐳慥㥢㤴扡敢挰戶挹㥢慢攳㘰㐹〶晦搵散㌹ㅡ㤰昷㕣㑢扤挶㔰㘵昰戳㕥㔱㤲㝢㉤愸敥㜵〰ㄸ晣㉣㔷ㄴ攲昵挴慢ㄴ㙢づ㈵攳㤳搰愴晦㕡㠱㜵㠸挲㌸挰㌰昲〶晦㘹㤶扦扦攱攷つ晥搳㉤㝦愲攱攷つ晥㌳挰搷攳㘹ㅥ㡥㥣㕢攱㑥摥㍡㔲愷挶㐳㌵㍢昶㙦㠷㠸㘲搱㘰㌶㤴搹㑢㠵搱㄰㉤ㅡ捡㝤っ攳㡥户㥥㔹昸搱㈷愷敦㝤搵㈷搷捤敤戶敤挴戱㠱〵戰㈴㤱戸㔷㐷㠲㘵㠱搲攱扤㡤挳㌲昶敦㘷愳㤷㠳愵㝤㘵慤愰昳〰㘸ㅢつ搸㉡昷㍢㍡昵㐷㈱愱愰摡〳敡搹搱晦㄰昵慦昰昴ㄷ㔲㝦㌱㘸扣搶ㅥ摤〷攲㐳㈱㥥ㅤ晥㡦㔰㝣㤱㈷㝥㈹挵㤷ㄹ昱㝤㈸㍥搰㠸敢ㄱ晤ㄸ挵慦昴挴㉦愳昸ち㈳㍥㠶攲扢ㅡ㜱㍤㕤㥥愰㌸㡢〳搹㈰㐹㡡㐵㠲戶㜵挵㘲㐱㈲㜲㡢㡢㐵㠳戶ㅢ㔵㌷〳挱㥦扣昱㥦㝤慤挱愴戹挵㙡㜶㌸㘹㝣㤳㐵㙣㉦慢ㅦ愴敥㠴㘶㌶搳搹㐹㔳㡢㉥ㄵ捤㜴搴㌰收ㅥ摦改挲㜷昶㝤㘴昸㘹晦摡㘸挱挴㠷ㄳ㑦〷敥㠵㈵挹昴㜳攸㍦挶㍣换〷㈵搳㌵搰攰㤸㤷㑣扦挰攰㉣〱㑢㘷㥡㌵㠵捥㑢愰㤵搸㠸㐴搴捥搰戶ㄱ慡㜴㕦愶晡㈳㥥晡㐳㔴㝦ㄵ㌴戳愹㡡愸㝥㄰户搱挵㥤㈷㡡㉦昵挴ㅦ愶昸㥢㐶ㅣ㥢慡㠸敡㙢挴㜵收摥愲昸㌲㑦㝣㌱挵摦㌱攲搸㔴㐵搴搶㐶㕣慦愲敦㠱㔵昵っ㠵㄰㑥扥㝤慦㌵㐸摡戳㔶戳挳愴㤵搵つㄲ戳晥㕢㉣㉦㐱戳㔸搲戶㠰㝢㐵㤳戶戹㘱㍣ㄷ㝡㘹㘵搹㉥搷敥㜵晢换㐷搶摣㝣㘷攰㠱挰慢戰㈴㐹晢ㄷ晡㠲愴戱㘲㔰㤲戶㈹㌴扣愴㝤挴戸扣ぢ㤶㑥ㅡ换〸㥤㑦㑣㕣㜰㌳㉣慣㌶㌴㜱搱昳攵㌳㡡扦攷㠹扦㐵昱捦㡤㌸敥㙥㠵搵扡㐶㕣㠷昱ぢ㡡扦敦㠹扦㑤昱慦㡣㌸敥㥤㠵㔵㤵ㄱ搷㐹晡㠶攲㝦昷挴摦愱昸㜷愰ㄵㅦ㐱㔰敦〶昵散〸晡〱愲㔵㥦㔱〹㘱攵摢昷㕡㠳愴晤摢㙡㜶㥣戴挸㈰㙤㌶㥢㍣昵ㄵ㌴㡢㈵捤㠱㝢㐵㤳㔶㙥ㄸ㕢㕤戰敡㡣扤〶㙥㍤攲挱㉦戶扡晣攳㤵慦扣愲㔸㔰㈸愷愷摦ㄸち㌴㈴㙦愹㉡〴攲晥㙥愸㜲㝡㘲㜵愱㈴㜸㈵愸敥㉡〰㥣㥥㔸㕣㈸挴㌲㝣㑥㠴慣晦〶㕣戲扥敡㠷摣搳搳敦㤶戱搲㌰昲㑥㑦㉢㉤晦㜷挳捦㍢㍤慤戲晣摦っ㍦敦昴挴㕡㐱㍤愶捡㜰攴㌸㜰㈷晦摡㉣慥㝥㠶㙥昶晣㔴〱ㄹ挵ㅡ扦㙣㉣戳攷愷敦㈰㕡㌴㤶摦ㅡ㐶慦㕦扡㡦㝢㉢ㄵㅥ㜳敡〹㤷㝤昴攸㥣㐴搷㐰㈵㙦挵㌱㙡㍤㜵㈸㝡〲㤷㔰㝣㙤㍣㤶㔵㉢挰㐶㔹攷愶㥤㘵扤㥦搳ぢ戴攲㘳㉥㔴愳晥〳敤散㤸㕢㡦敡敢㜹敡慣〱㜴㌶〰捤慣㕡㌵敡㔳㠸㘷㔷慤㡤㈸捥愲㍣摤ㅡ敢〰㥤㑤㡣㌸㤶愱ㅡ昵愱ㄱ搷昳㘷㌳㡡㙦攰㠹戳ㄶ搰搹挲㠸㘳㤱慢㔱晦㌰攲㝡晥㔴㠳㔵㔵㑤㈱㜴㥢㙦摦㙢つ㈶〰慢昹㐴戳攳〹㤰ㅤ昸摡㍣㙥っ㙦ぢ捤㙣搲戲愷㥡㜷攰㕥搱愴扤㙤ㄸ㡦摦愰ㄶ㙦㌹攱㥡扤ㄶ㍥晢挲㠲昳摦散戴㈸戰〳㉣戱㌳敥戶攸㑢㡦捥〱㤶〰㑡ㄲ晢ㄲ慦㔲㍢〲㤷㈴扥〹ぢ㕣挵昸摤慦ㄵ昸㤵㐹ㄶ〴ち攳つ挳搸㤰㡣ち晥ㅡ㙤㜹㝦昰㡡㔶㔷戰ㅥ戰慤晦㔰晣㔲㙥㍢扦〵㌳摤㈶〴㡥昴昲っ㑢搶扡㘵㌴㤹昵㝣昸收捥㠶挶㐶昹搲换敥㤹㝤ㄲ慤㠷愷㕢㐷㌵㌴愷摢扡㘷挶㌷㌴㤹敦㝦ㅣ㠶㕦㜰挶㉦敤摡ㅦ愲㜷〵愳戲㤳ㄹ搳㡡㕦愶敦㥡ㄹ搹戶㕦㕢㍡㔵搱㌴㌶搱摥㥥㙥㙤晥㕦昸㑥㔹㝣つ㈹㝦㕥〹㉦晤慢捤㐵扦〱㜴㈹搸㐵㙢㘸㜴〸戳昱ㄸ㠵㉦㘰攵挷慤㥤㍡㔵愸㑥㝦敥ㅢ㘵㥤ㅤ㌸㡥㔱敢㤷㑥㈶摡摡慢㘷昲㉢㐷摢㍡愹搷㤰㔸愹摣晤㜷㜸攳㔵㜴㤷挵搵敥㡥㤰㜵㜶〲攸㡣㑦㠱㤵昴㐳㘱ㅢ搴ㅦㄴ昹ㄶ㙡晤昵搷㕤㙡㌱〴㍡㉡改攳㝣敢摡㌴㌹搱摡㥡㤸㔳搱㌴戹㌱摤㍣愵㝤㙡挵攴㤹愸㘱挴㡦㑢㐳戹愲愲挲つ挲愸㡥ㄴ〶攵㙥㈰捡㐸つ㠱㡡㤱捡㡡㌹ㄹ愹㘱攲㔵㙡㜷攰㌲㈰㥦捦ㅢ愹慣㥦ㄳ挶㜳〵㈳㔵つ〲㡦愳搵㘵〸㍡愹㘷㡡㜶㌹〶㥥ㄳ〷挸敤㜲ㅤ㈸扥㉥㉢ㄶ戹戱摢敥慥戴㈵昱㠲㠷愳㐱ㄱ户㜷〳ㄵ㙥戳ㅥ㑤摣ㅥ㐰ㅣ㥢㜹攰攲摤㘳㜹㙥戳㍡㑤ㄸ㡦ㄶ扡捤㑡㌵㥦摢㑢㡢扡㍤〴つ㌸㐳〱㜲摤ㅥ〶㡡摦㙤㤶㤰㠹摢㈳挰戰㙥慢挳㑣ぢ捥ㅥ愰晡扦て㍢攵晢つ昰㉥敡〱摢㜲搹摣戲散ㄸㄹ〹ㅤ㘷㉦㠰捥愸愳㤲㔳㉡㐰愵扢㌷㈸扥㤶换㔹㐷㤶㍦昸昹㥤扤㈳攸㐵昹慣㠶㔴晢㔴㘷㙡扡㘱捡搴㜶㝣㌷㙦㌷捥〸晢㔲慣づㄳ愷昷㠱㑤㡡昳慤愶㔹敡㘸㍦㤵愳㐹㘴挷ㄸ㉡慤㈸ㄶ㘳〹㜵慣㑦㌶挰ㄲ㈵挹搶扥愰㈲㕢㉣㑥㤲㙣㡤㈳㕥愵㔸㤶㈴㐹戹㉤㉦㕢㉣㔵ㄲ挶慤㠵搹㍡ㅡ㍣㕦戶㙥戶㌱换㤹㔷晢愳〱攷〰㠰摣㙣㑤〲挵ㄷ㌳挵㝡㈲㜱晢㈰㌰㙣戶〲昳㐰ㄵ户て〶ㄵ㙥戳づ㐸摣㍥㠴㜸㤵㍡ㄳ戸㜸㜷㜵㥥摢慣ちㄲ挶㔵㠵㙥㥦つ㥥捦敤㐵㐵摤慥㐷〳㑥ㄲ㈰搷敤ㄴ㈸㝥户㉦㠴㉤㜱㍢〳㠶攷昶㘵愰㡡摢㔳㐰㠵摢㉣戹ㄱ户愷ㄲ慦㔲㔷〰ㄷ敦㉥捡㜳㥢〵㌸挲戸戰搰敤㉢挱昳戹扤愰愸摢㑤㘸挰㘹〶挸㜵扢〵ㄴ扦摢㉣㤳ㄱ户㡦〰挳扡慤㙥戵搴㔶㐳㤵挱挷扡ㄳ戶敢戴㠱㕡㝡挶㥣㘹晤挹㤹㌱㌳愰攳捣〴挸㥤㌱戳㐰昱晢挳昲ㄵ捥ㅡ晢㔲㉣㔰ㄱ〷攷㐰㤲㙥㠸㉢㡢㉤昵㐸㍦㜵㤹愵ㅥ㘵愸戴愲㔸㐵㈲ㄶ㡥昶挹〶㥥〱㔵㌲㜳っ愸挸っ慢㉡㈴㌳挷ㄲ慦㔲捦〱㤷〴ㅣ㥦㤷ㄹ搶㔸〸㘳㙥㘱㘶㕥〰捦㤷㤹㘳㙤㈴㜲收挱㠹㘸挰㌹〹㈰㌷㌳㈷㠳攲㡦挴敢戰㈵㙥㥦ち㠶㤷㤹㜷㑣ぢ捥㘹愰㤶捥挱㉣摢㜲㑥づ收㐱挷㌹〳㈰㌷〷㘷㠲攲㙦㤹搵㄰㌹㌹㘰㝤㠳戸㜲㌶㈴㍤㔷㔸挶㈰搴㜳っ㔵㌲昳㤹愵㥥敢愷㝥㘱愹攷昹愸〱㝥㔴㉦㌹㤸て㉡㜲挰て改㈵〷攷ㄳ慦㔲㍦〰㤷㔰㌷收攵㠰ㅦ搹ぢ攳昰挲ㅣ昰攳㝢㕦づㅡ㙣㈴㜲㜲㜰㌱ㅡ㜰㉥〱挸捤挱㐲㔰晣㤱攰攷敡搲挵换挰戰ㅤて㌸愰㡡摢㤷㠳ち户昹㜹戸戸㝤〵昱㉡挵㑦挲挵扢㐴㥥摢晣㜴㕣ㄸ㠷ㄵ扡㕤〹㥥捦敤㐳㡢扡㝤つㅡ㜰慥〵挸㜵晢㍡㔰晣㙥昷㠲㉤㜱晢〶㌰慣摢㙡㈳搳㠲㜳㈳愸愵㠷捥晥戶攵㥣愱㜳㌳㜴㥣㕢〰㜲㠷捥慤愰昸㕢摥〴㙤攴っ㥤㉤慣㉢户㐳㤲慥挸㈰搹捡㔲敦昰㔳户戵搴㍢晤搴ㅤ㉣昵㉥㐳攵愴づ〴㐱㤵ㅣ摣つ㉡㜲挰㡦㘴㈵〷昷㄰慦㔲㘱攰ㄲ敡㔱㜹㌹攰〷戴挲搸扢㌰〷ㄱ昰㝣㌹ㄸ㘹㈳㤱㌳㜴ㅥ㐰〳捥㠳〰戹㌹㜸〸ㄴ㝦㈴㜶㠳㉤挹挱㘲㌰㙣づ〲㐳㐰ㄵ户㤷㠰ち户昹改愷戸晤〸昱㉡㌵っ戸㜸㌷㌸捦㙤㝥ㄶ㉡㡣㐱㠵㙥㡦〰捦攷昶敥㐵摤㕥㡥〶㥣ㄵ〰戹㙥㍦づ㡡摦敤搱戰㈵㙥㍦〹㠶攷昶〴㔰挵敤愷㐰㠵摢晣愰㔱摣㝥㥡㜸㤵㥡〸㕣扣慢捤㜳㥢ㅦ㍢ち㈳㕡攸昶〱攰昹摣慥㈹敡昶ぢ㘸挰㜹ㄱ㈰搷敤㤷㐰昱扢捤捦〶挵敤㤷挱昰摣捥㠰㉡㙥扦〲㉡摣收㘷㝡攲昶慢挴慢ㄴ㍦捤ㄳ敦晡攵戹捤㑦昸㠴戱㐳愱摢搳挰昳戹扤㕤㔱户晦㠶〶㥣户〰㜲摤㝥ㅢㄴ扦摢慤戰㈵㙥扦ぢ㠶攷昶㙣㔰挵敤昷㐰㠵摢晣晣㑣摣㝥㥦㌸㉥搱㠰㡢㜷搵㜹㙥昳搳㌴㘱㙣㔹攸昶搱攰昹摣摥扣愸摢晦㐲〳捥㠷〰戹㙥㝦〴㡡摦敤㤳㘰㑢摣晥〴っ敢戶㥡㘷㕡㜰㍥〵戵昴晡戲㠱㙤戹捣㝦㐱晤㙦攸㌸㥦〳攴慥㉦晦〱挵摦㌲㍦昷捡㔹㕦昸㔱㤶戸昲㈵㈴㍤㔷ㄶ㔸敡㔷㠶㑡㡥扡搸㔲扦昶㔳㉦戳搴㙦㝣搴〰㍦捣㤱ㅣ㝣ぢ㉡㜲挰㡦㜱㈴〷摦ㄱ慦㔲搷〲㤷㔰㜷换换〱㍦搴ㄱ㐶㘵㘱づ慥〷捦㤷㠳ちㅢ㠹㥣昵攵㘷㌴攰晣〲㤰㥢㠳㕦㐱昱㐷㠲ㅦ扤㐸挷㝦〷挳敢昸扤愶〵㘷㈵愸愵㜳愰㙣换㌹㌹攰㐳戸㡥〲挸捤㐱㈷㔰晣㉤昳昳㤷㥣ㅣ昰〳ㄵ㜱愵ぢ㈴㍤㔷昸戹㠹㔰换つ㔵㜲挰㡦㐷㠴敡昸愹㑦㔸㙡㔷㍦㤵㥦つ㌰㕣㑥〵愸愵㍢昳攳昷昶昹㕢晦㠰挲㐳搴㘵㑥㌷㠰摣捥㜴〷挵摦ㄹ㝥挴㤰搳㤹㤷慤㉢㍤㈱改㜵㠶㥦つ㠸摢㔵㠶㉡㥤攱㐷〰㐲つ昸愹扣搳㉦搴㜵晣㔴摥㌳㤷捥昴〲戵㜴㘷晥㔳戴㌳敢㐱挷㔹ㅦ㈰户㌳ㅢ㠰攲敦捣㐷㘸㈳愷㌳㥦㔹㔷㌶㠲㈴㕤ㄶ户㜹て㕤ㅣ摣搸㑦晤挶㔲㌷昱㔳㜹〷㕣㘴㌷㌵㔴㌹晢昲㕥戲捣㡥捤㐰挵散攰㕤㘴㤹ㅤ㥢ㄳ慦㔲扣㝦㉣㤳攰〳㜴挷㝦㑦㡤昷㤴㠵昱て挳挸摥㔳㔳扣扦散㥢ㅤ敦摢㐸攴捣㡥慤搰㠰戳㌵㐰敥散攸〳㡡㍦ㄲㄵ戰㈵㙥㙦ぢ㠶㤷挵㥥愶〵愷㉦愸愵㜳昰愶㙤㌹㘷㜶㙣てㅤ㘷〷㠰摣ㅣ昴〳挵摦㜲〰㙤攴攴㠰昷㜳挵㤵㥤㈰改戹戲㤱愵昶㌷㔴挹捣㘶㤶扡戳㥦捡㥢戰㘲㈱攸愷昲㜶愶㠴昲㐵ㄳ捡㠱㐸㡤ㅢ㠶㐸㜹㕦戰昲㝦挴㐰ㅥ㑦搳户搶㝣㍦㝡㠴㜴㤴戹㑤攳昱㡢㍢扣换㔶搹挴㘷㔵攵㠹〷愷㘹晣㔴晣㈲捦㍡㐶戶㥦㈷搳换愳㜸戲㍤㍤㤲攸㙣㍣戴愵㘹㝡愲㌵㔱摦㤸愶㐸扦慣搱昵昳㌹㈲㡦㠱挴戱㔴戶㔵改挷㌱慣㠳扣つ㔸愱搶㔸戰㐲㔱挱慤㌱㘱㔳搹㈳㠹㜶㌹敦昴慤昱㉤㐸㝥㙥昲㈷㝦ㅢ㉡〲〷㔴㝦㌴㈶ㅦ挴㐴㠱㘱㔵㤳㜷㔵搰㔰㤹〸㍣晡〳㑣㜲晡㡣㍦愷㌱慡㠷挱㘲㕥摤戸搷ㅢ敦㐸㝡愳㜸ㄳ㡦㍤㜲敢㈸㕦㠷㈳㘹㙥ㄷ㝦㜳扢ㅡ慡㙥㙥㌷㘰搲摣攳晥收㜶愳晡〰戰愴戹〱㕥㜳摥㤱㙥㡥㌷摦愴戹摤㈹㍦捣ㄸ㜶〷晡㥢攳つ㌷㍡愱㥢攳㑤㌳搱ㄸ㐴つ摥㉢ㄳ〷〷㥢ㄶ㘸戶㡡㜷扢㐴㠳户㑦慢㐶攷㘰㘳㉣〶㔶㔹搵㔸㡢㔱㔲敤ぢ㑣扡昲㠸扦㉢㐳搹搰㌸戰愴㉢挳㑣㐳捡昵㡥㜴㔷㜸㘷㑡ㅣㅢ㑥昹㐹挶戰㍢〲㤸㤷愸㠳っ㔵㜷攵㘰㘰搲摣㠳晥收昶愴晡㈱㘰㐹㜳㈳扤收扣㈳摤ㅣ敦㈸㐹㜳㝢㔱㍥㘵っ扢㝢晢㥢攳㕤愴㙣攴愶〰㤳收敥昵㌷户て搵愷㠲㈵捤㡤昶㥡昳㡥㜴㜳扣ㄳ㈴捤㡤愱㝣㡢㌱散㡥昵㌷㜷㠴愱㑡敦慡㕡㉤㈶愱攵㥤ㅢ搱摦㤷晡扣㘱㈳㘹ㅢ㘷摡㤳戴捤昱㙢㔴ㅤ㤹㠳ㅤ㘵㌱㐹摢搱ㄶㄳ摢挷〰㤳㡥摤收敦搸〴㌶㜴㉣㔸搲戱晤㑣㐳捡昵㡥㜴挷㜸㈳㐵ㅣ㥢㐸㜹摥㍦ㄱ挷昶〷收愵敤㔴㐳搵㘹攳つ㄰搱㌸㠰ㅡ㘷㕡㡤㐹愶〵改捡搹㝥㡤慡㜳㉣㈶攳昱摣ㅣ散㍣㍦愶收〳㤳慥㕣敦敦捡㐱㙣㠸户㌳愴㉢〷㥢㠶㤴敢ㅤ改慥昰㝥㠴㌸㜶〸攵ㄷㅡ挳敥愱挰扣慥㕣㘶愸扡㉢㤷〳㤳收慥昲㌷㜷ㄸ搵慦〰㑢㥡㑢㜸捤㜹㐷扡㌹摥㐷㤰收敡㈹捦摢〷ㄲ戹愴扦戹ㅢっ㔵㌷挷晤扦㘸愴愸㜱慢搵㐸㥢ㄶ㈴㜲户㕢つ㠹搵ㅤ㌹搸㥤㌹搸㕤ㄶ攳㤰㔰㜷〳㤳慥㉣昴㜷㘵ちㅢ攲㙥㕥扡㌲搵㌴愴㕣敦㐸㜷㠵摢㜱㜱慣㠱昲てㄹ挳敥㌴㘰㕥攴ㄶㅢ慡敥捡ㄲ㘰搲摣〵晥收ㅡ愹晥〸㔸搲㕣㤳搷㥣㜷愴㥢攳㌶㕡㥡㙢愶㍣㜷捦ㄲ戹ㄶ㝦㜳㑦ㅡ慡㙥㡥㕢㘶㘹敥㕣㝦㜳㐷㔰㥤扢㘷㘹慥搵㙢捥㍢搲捤扤〰〹㘹慥㡤昲㉦ㄹ挳㙥扢扦戹㤷つ㔵㌷挷慤慥㌴㜷㠶扦戹㤹㔴攷慥㔷㥡㥢攵㌵攷ㅤ改收晥〶〹㘹㙥㌶攵摦㌶㠶摤㌹晥收摥㌵㔴摤摣㝢挰愴戹㔳晣捤ㅤ㐵㜵敥㔶愵戹愳扤收扣㈳摤ㅣ户㥢搲摣㌱㤴攷㉥㔳㠲㜹慣扦㌹㙥㌱㐹搵捤㜱㥢㈸ㅡ挷㔱㠳扢㐳搱㤸㙢㕡愰搹慡㉦晤ㅡ㔵㕦㔹㑣〶攵搷㌹搸㌷㝥㑣㜱愷㈷㕤㌹捥摦㤵ㄳ搸㄰㌷㝤搲㤵ㄳ㑤㐳捡昵㡥㜴㔷㝥㠶㠴㌸㜶ㄲ攵㝦㌵㠶摤㤳㠱㜹挳昰㜷㐳搵㕤攱㙥㑢㌴㑥愱〶㌷㔹搲㤵㔳㜱㐰㤳搲㤵㉥㠶㉡ㅡ㔵摣㐸㐹㈸愴㉢摣㐰㘵㌱㙥㥣㍣㑣㜱昳㈳戶㑦㈳㤹㝢ㅥ戱㝤㍡づ㍣摢㍤つ㔵摢收扥挶搳慦攲㝥㈶㡢㜱ㅦ攳㘱㡡㝢ㄱ戱㍤㡦㘴㙥㐱挴昶ㄹ㌸昰㙣㙦㘴愸ㄵ攲㈹户ㄹ㥥㝥ㄵ户ㄷ㔹㡣摢ち挱搰攵㌲戵ㄹ㌰㐹㐱扢㍦〵㘷㔱㘶㜳〰㐹挱搹㌸㘰㐳捡昵㡥〴㔵摣ㅡ㠸㘳攷㔰扥て〱挴摣㜳㜱攰愵㠰摢㠱㙣㜳摢〳ㄳ㡤昳㐸收㤵扣㘸捣挷㠱搷㤵㥤っ㔵㠷愹扦挵愴㘳㍢攷㘰扣㍡ㄷ摢挲ぢ〳摢ㅦ敤㜷㥡慤㤲㠷愵づ㍢散愷慡㉥搵㥢㜴㌹㘰㔰昷㑢晥晥捣〷昳㕦㍤㜸挰挷扦㕤㜶搹慢晦㥡晦摣㙦㡢敢〷㍣㜹昵搵㉢昶㕡昴摣〷扤㌲㔷㜶扡晦愷㔱㔷ㅥㅤ㍡晣攸㈳㌲晢敤戰挷搱㤳愶敤ㅢㅡ扢㑥扦捥㥤扢㜶敤扢敥㔳ㅢ㙤ㄷ㤸㝢挴〳敡搱扦㙤搸㕣捥慢摡㌵戸ㄲ愶㐷㝦敥戲戵㔲挹㜵㉢㘳㜸扥改ㅡ㡤〵㜸晤㉡㥢扤〵㌸㜰㉦㈰戸㤰攰㈲㠲㡢〹㉥㈱㔸〸搰挳慤㡡攱扦戵ㄹ〷ㄵ㐷〳㡣㐵愵慡〳㤴〴㕥㙡づ挴㕤㕥晦㡡扢㤷攱挰扤㥣攰ち㠲㐵〴㔷ㄲ㕣㐵㜰㌵〰摣摤つ晦慤㔵㜷〷愰〱敤慥㕣㌷㌳扡搷㠰㐴㔷挵㕤㕥㍦㡢扢搷攲挰扤㡥攰㝡㠲ㅢ〸㙥㈴戸㠹攰㘶㠰ㅥ慥ㅡ㠴晦愴换户攰挰扥〲扣愲ㄶㅢ户攲挰扤つ愰㐷捦慡愱昸㙦慤昶㙣ㄸㅡ搰㍤ㅢ㡥㈳昱敡㜶㜳㈰㍤ㅢ〱㐴扣扡〳〷敥㥤〴㜷ㄱ摣㑤㜰て挱扤〴昷〱㈰ㄱ㝢攲扦戵敡敥㐸㌴愰摤摤ぢ㐷攲敥晤收㐰摣攵攵戸戸晢ㄷㅣ戸て㄰㍣㐸昰㄰挱挳〴㡢〹㤶〰挰摤㝤昰摦㕡㜵㜷㌴ㅡ搰敥㡥挱㤱戸晢㠸㌹㄰㜷挷〲ㄱ㜷㤷攲挰㕤㐶昰㈸挱㘳〴换〹㔶㄰㍣づ㠰㜱戳㉦晥ㄳㅢ㑦攰挰扥〲攳㠰㠸㡤㈷㜱攰㍥〵㠰㜱㌳〱晦慤搵㥥昱慡㕥昷㙣㈲㡥挴慢愷捤㠱昴㙣㝦㈰攲搵㌳㌸㜰㥦㈵㜸㡥攰㜹㠲ㄷ〸㕥㈴㜸〹〰㍤㍢〰晦㠹㡤扦攲挰扥〲㤳㠰㠸㡤㤷㜱攰扥〲㠰㥥ㅤ㠴晦搶㙡捦づ㐶〳扡㘷㠷攰㐸扣㝡搵ㅣ㐸捦づ〵㈲㕥扤㠶〳昷㜵㠲㌷〸摥㈴昸ㅢ挱㕢〴㙦〳㘰㠸ㅤ㠶晦搶慡扢摣㈴㘸㜷敢㜱㈴敥扥㘳づ挴摤㈴㄰㜱昷㕤ㅣ戸敦ㄱ扣㑦昰㜷㠲㝦㄰㝣㐰昰㑦〰㈴㈲㠵晦挴挶扦㜰㘰㕦㠱㌴㄰戱昱㈱づ摣㡦〰㤰㠸㈹昸㙦慤昶㙣㉡ㅡ搰㍤㙢挰㤱㜸昵戱㌹㤰㥥㑤〳㈲㕥㝤㠲〳昷㔳㠲捦〸晥㑤昰㌹挱㝦〸扥〰㐰㈲ㅡ昱摦㕡㜵户〹つ㘸㜷㥢㜱㈴敥㝥㘹づ挴摤ㄶ㈰攲敥㔷㌸㜰扦㈶昸㠶攰㕢㠲敦〸扥㈷昸〱〰敥ㅥ㠱晦搶慡扢慤㘸㐰扢摢㠶㈳㜱昷㐷㜳㈰敥戶〳ㄱ㜷㝦挲㠱晢㌳挱㉦〴扦ㄲ晣㐶昰㍢挱㑡〰戸㍢ㄳ晦慤㔵㜷㘷愱〱敤敥㙣ㅣ㠹扢慢捣㠱戸㍢〷㠸戸㕢搶つ㕥㈹㠲㑥〴㥤〹扡㄰㤴ㄳ㌸〰㜰昷㈸㐸慦㔵㜷㡦㐶〳摡摤㘳㡣㤷㙥㔷㌴㑤㔷挵摤㘳慤扢ㄵ昴捡㈵愸㈴攸㐶搰㥤愰〷㐱㑦〰捣捡攳慣㡤㉡攰昶ㄵ㤸㙢㙤〴㈸扡づ㐵㝢㔶㥤〰攲㕡敤搹㠹㘸㐰昷散㈴敢㔵㉦㌴敤昵散㘴敢搵扡昴㙡㍤㠲昵〹㌶㈰搸㤰㘰㈳㠲㡤〱搰戳㔳慣㡤㑤㠰摢㔷攰㔴㙢㘳㔳㡡㙥㐶搱㥥敡㌴㉢扡戹㕦昴㜴㉢扡〵㐵户搴愲昳慣㘸戵㕦昴っ㉢摡㥢愲㕢㠹㘸搵㔹㈰慥搵㜸㥤㡤〶㜴扣捥戱㕥㙤㡤愶扤㜸㥤㙢扤敡㐳慦戶㈱搸㤶愰㉦挱㜶〴摢ㄳ散〰㠰㜸㥤㘷㙤昴〳㙥㕦㠱昹搶挶㡥ㄴ摤㠹愲㍤〳攷㕢㘲㝦攲㔵㙡〱㜰搹愶晤昵㍢晤昱づ㜷㍣㤵敡〲㑢㝥挹㤰搷ㄱ昲㠵㤶晣愲㈱戳挰扡㔲㕤㘴挹㉦ㄸ昲㠶㐲扥搸㤲㥦㌷攴敤㠴㝣㠹㈵㍦㘷挸摢ぢ㜹愱㈵㍦㙢挸㐳㐰㐶昱㜶攰㔲㌰㘴ㄲ搷㙡㤷㉦戳㠲㑦ㅢ㐱敤昲攵㤶晣㤴㈱㙢㤷慦戰攴㈷つ㔹扢扣挸㤲㥦㌰㘴敤昲㤵㤶晣戸㈱㙢㤷慦戲攴ㄵ㠶慣㕤扥摡㤲㤷ㅢ戲㜵昹ㅡ㌰挴攵摤戵换搷㕡挱㐷㡤愰㜶昹㍡㑢㕥㘶挸摡攵敢㉤㜹愹㈱㙢㤷㙦戰攴㐷っ㔹扢㝣愳㈵㉦㌱㘴敤昲㑤㤶扣搸㤰戵换㌷㕢昲挳㠶㙣㕤扥〵っ扡摣㈳愰戸搵㤰㌱昱㤰㤱㤱慥散㠱慥愸摢㉣敢㠱㍣昵摢㡤扡㍢㔲昷昸づ㉢㜸扦ㄱ搴㍤扥搳㤲敦㌳㘴摤攳扢㉣昹㕥㐳搶㍤扥摢㤲敦㌱㘴摤攳㝢㉣昹㙥㐳搶㍤扥搷㤲敦㌲㘴摤攳晢㉣昹㑥㐳戶㍤扥ㅦっ改搹扥摡攵扦㔸挱摢㡤愰㜶昹〱㑢扥捤㤰戵换て㕡昲慤㠶慣㕤收㤶㐲㘲㜷㡢㈱㙢㤷ㅦ戶攴㥢つ㔹扢扣搸㤲㙦㌲㘴敤昲ㄲ㑢扥搱㤰慤换㡦㠰㈱㉥㑦搲㉥㉦戵㠲搷ㅢ㐱敤昲㌲㑢扥捥㤰戵换摣㐴㠸㙦搷ㅡ戲㜶昹㌱㑢扥挶㤰戵换换㉤昹㙡㐳搶㉥慦戰攴慢っ㔹扢晣戸㈵㕦㘹挸搶㘵敥㑡捣戸㝡搲捡㉣㌲㌲搲㤵㝡㡥慢愷㉣敢昲㍣昵愷㡤扡㥢搲㍤㝥挶ち㕥㙡〴㜵㡦戹㤵㤰慥㉤㌴㘴摤㘳㙥㉥㠴㝣㠹㈱敢ㅥ㍦㙦挹ㄷㅢ戲敥昱ぢ㤶㝣㤱㈱敢ㅥ扦㘸挹ㄷㅡ戲敥㌱㌷㈹㘲晢〲㐳戶㍤晥㉢ㄸ愶挷㉦㕢㤹〵㐶㐶㝡摣挴ㅥ扦㘲㔹昳昳搴㕦㌵敡㙥㡢敥㌱㌷ㄴ搲捥戹㐶㔰昷昸㜵㑢㍥挷㤰㜵㡦摦戰攴戳つ㔹昷昸㑤㑢㍥换㤰㜵㡦晦㘶挹㘷ㅡ戲敥㌱户㉡搲攴ㄹ㠶慣㝢晣戶㈵捦㌳㘴摢攳㜷挰㤰㥥捤搲㉥扦㙢〵㑦㌳㠲摡攵昷㉣昹㔴㐳搶㉥扦㙦挹愷ㄸ戲㜶㤹㕢ㄱ㜱攲㘴㐳搶㉥㜳㜳㈲攴㤳っ㔹扢捣敤㡡㤰㑦㌴㘴敤㌲㌷㌰㐲㍥挱㤰慤换摣挹㤸㈴㜱晢㈲㌲挷ㅢㄹ改捡㕣㈶㠹㥢ㅡ㘱ㅤ㤷愷捥㉤㠷㠸㥤愰㝢捣捤㠶〸ㅥ㘳〴㜵㡦戹晤㄰昲搱㠶慣㝢捣つ㠹㤰㡦㌲㘴摤㘳㙥㔱㠴㝣愴㈱敢ㅥ㜳搳㈲攴㌹㠶慣㝢晣ㅦ㑢㥥㙤挸扡挷㕦㔸昲㉣㐳戶㍤晥ㄲっ㜱㜹㥥㜶㤹ㅢづ㌱㍢挳〸㙡㤷扦戶攴㜶㐳搶㉥㝦㘳挹㙤㠶慣㕤晥搶㤲㕢つ㔹扢晣㥤㈵ㅦ㘱挸摡㘵㙥㘵愴挹改㠶慣㕤晥挱㤲㕢っ搹扡晣㈳ㄸ攲昲㝣敤昲㑦㔶戰挹〸㙡㤷㝦戶攴㐶㐳搶㉥㜳㘳㈲慤ㅤ㙥挸摡攵㕦㉤㜹㥡㈱㙢㤷㝦戳攴〶㐳搶㉥晦㙥挹㔳つ㔹扢扣搲㤲愷ㄸ戲㜵㜹ㄵㄸ攲昲㐲敤㌲㌷ㅥ攲㐴摡〸㙡㤷戹ㄵㄱ㜲捡㤰戵换摣㥣〸㌹㘹挸摡㘵㙥㔷㠴㕣㙦挸摡㘵㙥㘰㠴㥣㌰㘴敤㌲户㌴㐲㍥捣㤰戵换摣攴〸㜹戲㈱㕢㤷戹〵ㄱ㤷慦挶〱㉥〹戹昹㄰挱㐳㡣愰㜶㤹摢ㄱ㈱ㅦ㙣挸摡㘵㙥㔰㠴㝣㤰㈱㙢㤷戹㘵ㄱ昲㠱㠶慣㕤收㈶㐶挸㤳っ㔹扢捣㙤㡤㤰て㌰㘴敤㌲㌷㍡㐲摥摦㤰慤换摣昱搰㘵㕣慣㜰㥢㈳㌲ㄳ㡤㡣㜴攵ㄶ㔰ㄵ㌷㍦挲㥡㤰愷捥慤㠹㠸摤㠶〳昴㤸㥢ㄲㄱㅣ㘷〴㜵㡦戹㑤ㄱ昲扥㠶慣㝢捣㡤㡢㤰挷ㅡ戲敥㌱户㌲㐲ㅥ㘳挸扡挷摣摣〸㜹戴㈱敢ㅥ㜳扢㈳攴㝤っ㔹昷㤸ㅢ㈰㈱㡦㌲㘴摢㘳敥㠴㑣㡦戹晤ㄱ㤹扤㡤㡣㜴攵㝥㔰ㄵ㌷㐵挲ㅡ㤹愷捥摤㤱㔱攷㤶㐸㘴昶昴慢㍦㐸㜵㙥㤴㠴㌵㈲㑦㥤㍢㈶愳捥㙤㤲挸っ昷慢㉦愶晡㔶㤶㌵㌴㑦㥤㕢ㅢ㜱昲ㄱㅣ㈰摥摣搴㠸㡤挱㐶㔰挷㥢摢ㅣ㈱て㌲㘴ㅤ㙦㙥㝣㠴㍣搰㤰㜵扣戹ㄵㄲ昲敥㠶慣攳捤捤㤱㤰〷ㄸ戲㡥㌷户㑢㐲摥捤㤰㜵扣戹㠱ㄲ昲慥㠶㙣攳捤㥤㤴改㌱户㑦㈲戳㡢㤱㤱慥㍣〹慡攲愶㑡㔸昱㕣昵㜲敥慥晡㤴㉥㠲捡㍥ㄱ㔹㠱㔱晣晦晢慡慤愷ㄱつ㍥㍢慣㕣敦㐸㔰挵ㅤㅤ㐳攵㍥攳㐹㜸㐷㕡㠲ㅢ㈸㤱㜸搶㤳昰㡥戴〴昷㈵晣攴慦㔲㡤戴戲捦㜹戲摥㤱㤶攵㤵扥㔸㝢摥㤳昰㡥戴〴㉦慣㐵攲〵㑦挲㍢搲ㄲ昵㘰攸昶㜸㐹㉡戲㉦㝡戲摥㤱㤶㙤昲㘴㜹㌱㈷戲㉦㜹戲摥㤱㤶攵戵㤳㐸晣搵㤳昰㡥戴〴㉦㐹㜴换㈷㔸搹㤷㍤㔹敦㐸换捥戳ㄲ慦㜸ㄲ摥㤱㤶攰㌹㔵摡㝢搵㤳昰㡥戴〴㑦㘱㈲昱㥡㈷攱ㅤ㘹〹㥥㌱㐴攲㜵㑦挲㍢搲ㄲ㕣㠸戵捦户㔹搹㌷㍣㔹敦㐸换㜲〹搳戲㕣㡤昴ㄱㄷㄶ㝤挴戵㐳摡㝡ㄳ〷愲攰㝡㐷㕡㥦㔳㔲换㜲㤸搵攰㑣㕣愹㌸㥣昴ㄱ㠷㡤㍥攲愰搰㐷㑣扥㍥㝡挱ㅣ戹㝦挳㠱㘲ㅡ㌵㥤㐹搲㐷㑣㠶㍥㘲愸昵ㄱ㐳慡㡦ㄸ㍡㝤挴㄰改㈳㠶㐲ㅦ戱愳晡㠸㉥敢㈳㘹㠸戳晦㉤㤰散㉢㐰㐴慦㍢摤晥て㙤㕤㑣㈰</t>
  </si>
  <si>
    <t>Show other tables</t>
  </si>
  <si>
    <t>㜸〱散扤〷㤸ㅣ挵昱㌶㝥㝤搲㡤㙥㑥攱ㄶ㤱〴ㄸ㤰㠴㐴ㄲ㠸捤〱㤰㜴㤲づ〵㔰㑥㘴ㅦㅢ㘶愵㐳ㄷ攰敥〴ㄲ㌹攷ㅣ㑣㑥挲攴㈰㥢㘰挰㌶ㄹ㑣〶ㄳ㙣㤲〹〲㑣㌰ㄹ㥢㥦〱ㄳ扥昷慤改㥥㥢摤㥢㍤㠵捦扦攷捦昳㝦扥搵㙤㘹扡敡慤敡敥慡㤹敥㤹㥥㥡搹㉡㔵㔵㔵昵ㄳ㍥晣㥦㥦扥摣昸挵摣㘵㥤㕤㑥敢攸㠹敤㉤㉤㑥扥慢戹扤慤㜳昴昸㡥㡥散戲㘹捤㥤㕤㝤〰戰㥡㥡㈱敦慣㘹敡㙣㍥挴愹㙤㍡挸改攸〴愸愶慡慡戶搶慥㠶㝣㈳晤つ㤹㠲㑤㉤扢㉦〹㔰㔵戶㐵搲㡦愴㤶挴㈶愹㈳改㑦㌲㠰㘴㈰挹㈰㤲㝡㤲㄰挹㍡㈴㠳㐹搶㈵㔹㡦㘴㝤㤲つ㐸㌶㈴ㄹ㐲挲晡敤㡤㐹㌶〱ㄹ昰ぢ㤰㜹ㄳ㈷捣捣敤㡦摥捣敤㙡敦㜰戶ㅢ扡挰㙤昳㤸㐸㘴㜴㘴㜴㉣ㅤ㡢㡤づ㙦㌷㜴攲㤲㤶慥㈵ㅤ捥㤸㌶㘷㐹㔷㐷戶㘵扢愱戳㤶攴㕡㥡昳扢㌹换收戵㉦㜶摡挶㌸戹㜰㉣㤷㡤愷㈳昱㐴愲㤸挹愴〷㙣ち换㌳㈶㑥㤸搵攱ㄴ㍢晦㕢㌶㌷愳捤㤹ㄳ㈷㡣㥥攱㜴晤户㙣㙥づ㥢㌰搹搸摥㥡㙤㙥晢㉦ㄹ慤㘱㑣ㄳ㡤㑥扥㤹挱㜷㥣㡥收戶㠵愳搱散ㄲ㐷愳㤴ㅡ㍤扥戳㜳㐹敢〱摣㡦㈶㍡㉤㉤㜳㥣愲〴扤戵戱戳㙢㔶戶愳戵㜳㐰㉢晤攷㜴㌸㙤㜹愷㜳㔰敢㉥㑢昳㑥㡢〶㜶搶戶㉥挸㜶捣挸戶㍡㝤戹㔱摦敡挶㜰㙡挱㘹敢㙡敥㕡㌶戰㜵㝥愷㌳㈷摢戶搰㈱愴愶㜵昲㤲收㠲敡摢ㄷ㝦㔵㝤戶ち㙡㤹〴ち敤㘹㥤戸㈸摢搱㈵㈵㠶㌰ㄲ㠴昵敤㉥搲㡢㤲㜶㜱㤷ㅡ㕡愶挵㤸捤㙤㙥摤捤改㘸㜳㕡㔸〹㈳㌹慡っ㈴づ㜲攳攰㜹捡㜴㠷㔱㔲晤昵挱挷扥戰ㄶ㙢㈸挸挸㜹ㅤ捤攸收㤲㤶㙣挷㜶搳㥢摢挶㐴ㄳ摢㑤㙢㕥散戴㌴㍢㥤㕤㘳㘲㠹敤愶㘷㤷㡥㠹㈷散㘱㠰摡挳愹戴〵挸㠶㘳㠶㉦挸戵っ㥤搸摥搹搵㌹㜴晢愱挳㠷㙥㌹㜴挴挴ㄱ㤱㠴㍤㠲戰㤱㈰慡敦㙢㌸昶晤㌵昲昸慢㙥捡㔶㌷攵慡㥢昲搵㑤㠵敡㈶愷扡愹㔸摤戴戰扡㘹㔱㜵㔳㜳㜵搳晥搵㑤㡢㠱㌱㥦摡㝥晤慡昵攷昱㤵㠹〵搷晤㝢挸㤴敢㉦㙡㍣㘴户攳晦晥戴攲攱㉥愳挵㔶搸搸扥慣〷攱搱攱㤲㑥愰散㜶〳ㅢ愹㠴扤㌵㔴散㙤㐰慣㙤㐱㌶ㄸ㌳扣ㄱ㝢㐸扥㙢攸㐸㕦㐷搲昶㈸愲戶〳㔱敡㐵㜴㠴㥤㜹晤攲昷〷捤㕤㌸㝥挲㜵㙦ㅦ戸改攷㍢㑥戹㐹㜱扣㤱㔶㡣挶挶㔶㘵慤㐸昹晤ㄸ〹㠷挵㤱㤱㐴搸摥㠱㤶挳㈰㔶〴〴㥥㥣搴扣搴㈹㠸㉦扢㕢㤰戴愳㠴挵㐰㤴㝡㕡㌷攰戰挹摢㝥㝤攰捥㌷敥㝡收㡤㡢晢摥㌶改捦敦㉡㡥㜵搲㠰〴㌶㔶㉢㤰㘱㍢㐹扢㈹㄰㉢つ㔲㈱㤰㈹㍢㐳搸㡥㈰㑡㍤慡慢㍦昰昵㝤㥢挲攷っ㙡戸敤㠵㔳㙢昶㙤㝣愶㔹㜱㤴㤵敡㜷挶㐶㜹昵昱戰㙦㍦㑡戸摤㑦㠶敤㌱戴㍢ㄶ挴ㅡ〷〲敦〷散㐷㈹扢㠱愸昱㈰㑡摤愷㙢摦昴摢㝢㡥㌸㙥㐱㝡收㔱ㄷ㡤扦晡㠲㉦戶㔸㑦昱㐸㤷摡㈷㘲㘳戵扤摦㐸换扢㠰㔸㤳㐰㠶〴㝢㍦ㄲ户㈷ㄳ㌷〵㐴愹扢㜴ぢ㉥摢㙦挸挶搳㉥敤ㄸ㝦攳换㤹㥡㝣㐷㜵㐲㜱㙥㤱ㄶ散㡡㡤搵㙥挱㙥戴㍣つ挴㥡づ㔲愹〵ㄱ㝢〶㜱㌳㐱㤴晡㡤㙥挱挰㤳捥ㅦ㌵昷慤昶〹㈷㜵㔵摤㜵㔵愳㍡㑤㜱㘲㤳ㄶ捣挶㐶㜹〴愲晥〸攰㠸攰㤱ㅣぢ摢㜳㘸㜷㉥㠸㌵て㈴㜸〷㠸㐶散昹㠴㉤〰㔱敡〶㕤晤㍦㐷散㌹㘸挵㤵㉦捤扣㝢㝥昴昱〳挲㕢㍦慢晡㐳㉣搵敦㠱㡤㔱㘵〷〰㡥戶戸㙦ㄷ㐰㌱㉤㑤〸㡦㡥㐴敤㍤㘹㝤㉦㄰㙢㙦㤰挰㠳㌰ㅡ戵昷㈱㙡㕦㄰愵㤶敢㌶㉣摣挴挹㍤㍢㌵㌲㜹挵挵晤㍡㙥㜸㝥挰戱㌵㥣搱㘳㐱㈳㘱昹㈰㍢〹㤳㜳㍥摢搹愵挷㝦敥扣晦摤改㘱搵戳挳愴㡥晣晦晥散㠰㑡晥㉢戳㠳摤㐴敦敦〷㘲㘵㐱敡挷っ㥦㌸慢㝢㠰㑡摢㌹㡡昳㈰㑡㕤慡㠳ㄳ㥦扡攵㠹ㄷㅥ㝦㘲攳㔵挳捦摤攳摥ㅦ㍦搸㐳昱㑣㑢㜶㄰〷ㅢ攵晢㈷〶㠵敥㤹〶挳㈵昷捦㜴搸㉥搲敥㐲㄰㙢ㄱ㐸昰晥ㄹ〹摢捤㠴敤て愲搴昹扡晡㙦〷㥦晤捤〵㝢摦㌹敤㥡慡慦㙥㝡㙤晣搱㈹挵㜳㍣愹扥〵ㅢ慢㝤㠰戶搲㜲ㅢ㠸搵づ㔲㘱㠰㑥搹〷㄰㜶㈰㠸㔲㘷攸〶㌸搶挸搷㈷晤㝢㥦挹昷慦㜸㜴慢摤〷慤戸㐶昱晣㔲ㅡ搰㠹㡤搵㙥㐰ㄷ㉤㉦〱戱づ〲愹㌰㐲攰㄰㍤㤸戸愵㈰㑡㥤愸㕢㌰晤敤昰㍤晢㕤㌰㜵挲慤挳㈷慦ㅦ㕥晥攵㤵㡡㈷户搲㠲㐳戰㔱ㅥ㠱愰㌱㍡㤱戰て愵摤挳㐰慣挳㐱㠲挷攸㡣㝤〴㔱㐷㠲㈸㜵㤴慥㝤攴戸ㅢ慥晥昱挲㠵つ户ㅦ㝤昶改㕢ㅤ戲散〱挵戳㙡愹晤㘸㙣㙣㔹㌶㐰〴挵㍦ㄲ㑤搸挷搰昰戱㈰搶㜱㈰ㄵ㜶㠰㠸㝤㍣㘱㈷㠰㈸戵㑣搷㝦敢昱㐷㍤㝥挷愱戳㜶扤㙣摤搶㌷扥晥昱扢㐷ㄴ㑦攸愵晥㤳戰戱摡晥㍦㤹㤶㑦〱戱㑥〵愹攴晦愸㝤ㅡ㜱愷㠳㈸搵愱㕢搰㜱昰收ㅢ㥥昷攲戴挶㜳捦晡攲㄰昵搶㡢户㉢㕥㑤㐸ぢ捥挴㐶挰㄰改㍦㑢挰挸㘸㑥㔴攰㠶戳㘸晤㙣㄰敢ㅣ㤰攰㈱㌲㙣㥦㑢搴㜹㈰㑡㉤搶㙤㜸㘷愷㐴㘷扦㑢ㄶ㑥昹攳㠲挷づ戹㜳愷㤹㉦㈹㕥捣㐸ㅢ㝥㠵㡤搵昶挲〵戴㝣㈱㠸㜵ㄱ㐸〵㉦㐴㤲昶挵挴㕤〲愲㔴㐱户攰㡤愶户て㍢㜵㔶敤攴ㄵ摦㡣㝤㜱㠱㥤㑡㉢㕥㐹㐹ぢ㉥挳㐶昹㕥㔸㜲戲㘶捥㌸挳昶攵戴㝢〵㠸㜵㈵㐸㠵摤㈰㘹㕦㐵搸㜲㄰愵昶搵搵㉦㝣㜹摤㔳㥡て㙡ㄸ㝦敥敦㡢㕦㙦昳㘹扦〵㙡〳㠸愵晡㕦㘳㘳戵慡㑦搸搷搰敥戵㈰搶㜵㈰ㄵ慡㡦摡搷ㄳ㜶〳㠸㔲ぢ㜴昵慦㙤昳搹捡㥢㑥㔸㌹敤㤴㝤敡㘳㑦晤昵收㔷ㄴ慦ㅥ㌹㑤搹㌷㤱摣っ㘲摤〲戲捥慣㡥㜶㕣㤶㜴づ㥤收㘴ぢ㐳攷㌵户㍡昶慤〴慣〰㔱㙡㤶戶㜶昳㕤㥢敦㜹捦㤳㐷㑦扡晡挴搰搷慤〳昶戸㔳つ㠱㔸㍡昳㕢㙣㙣㕢㜶㑣㘱ㄷ昲つ慡㥣㙡捤㥣ㅢ户㙦愳昱摢㐱慣㍢㐰〲㜷愸㐸挶扥㤳愸摦㠱㈸㌵㔵㌷愱收㤶㑤ㄶ捣戸昳㥦攳㙦晦收改㘷㈳㜳收捥㔷扣〸㤶㈶摣㡤㡤搵摥愱敥愱攵摦㠳㔸㝦〰愹戰㐳㐵挳昶ㅦ㠹扢ㄷ㐴愹〹扡〵㠷㙦戲昳摥㍢ㄷ㜷㥦㜶换㈷扦㜸戹敢㠹捥㝢搴挶㄰㑢ぢ敥挷挶㙡户攰〱㠰敤〷㐱慣㠷㐰㉡戴㈰㤲戲ㅦ㈶敥ㄱ㄰愵㜶搲㉤挸㕤㝣挲昹㡦㔷㥦㌸昹㘴慢改㡡挳敡敦㙤㔶㥢㐰㉣㉤昸ㄳ㌶㔶扢〵㡦搱昲攳㈰搶ㄳ㈰㤵㕡㤰戰㥦㈴敥㈹㄰愵攲扡〵捦捤㝢㜲晥昳㔵㑦敤㜶搲㘶㥦敥晢摣㤳㐷㍦㌹攰ㄹ㠸㘷敢㑢扡挶㡥散挱戸㐸敥扥晥㡥㡥挶〹搷敡㉣㍣㘰摤愱㤸㈸愶㡡㤱㐸㈱ㄱ捥挶戲㌵挳㘰㜶㜵慦㜰㌹扢っ㈸敥摥摣㔶㘸㍦㔸㉥㜹㝦㌱㈱摢改㜴㥦攳㡣搲戲〹敤㑢摡ち㥤㥢〴ぢ攷㜶㘵扢㥣㡤换㘵摤㐶㝡愸捤挵㠲㠰搳㈹昵㙤㔶慥戶㈰摢戲挴ㄹ扦戴搹ㄵ㙦㕡㈶挶㜲㐰㝢慥戲㜴㔲㠷㜳愰㈷敤搱愲昱㔸慦㍡㐸㙣昷攸愵㉢㜲摢㌵㜴攲愲昶㑥愷㑤㥡㌷慡㜵㔶㜳㝥戱搳㌱搷攱㙡㤷㔳㤰慥慥㑦㤱㕥㤳ㄸ㌵戳つㅤ挵㉡㐳㘱戸㥦㕢摣㘵㘹㤷搳㔶㜰ち㘸敦〱㑥㐷搷戲㜹搹㕣㡢戳㐱〹挴慤ㄳ㠲㡤㑡搸㤳摡昳㑢㍡㈷戶户㜵㜵戴户㤴㑡挶ㄷづ捡㘲ㅤ愴㌰扤扤攰㘰ㄹ愳㉦㍦㔵慡慡㑦ㅦ愵慡戶つ㍡㠳愶摤捥搱ㄲ〸㕦㠸㌷㐵捣㠷㤴敥㜶愳攷愰㜷攸㐵㡢挳㝤戲㝡挴㉡㡣㠹㕤㥡搹愶㌲搰搷㈷㉥つㄲ扤㜵㘵戴戴搱㡢摣晦㉥戸扡㝡㕤摤晢㕤づ挲㕡搱㤴㙣㕢愱挵改攸㜵㘱㔳戱㐵昶戳㈰㌵ㄱㅣ捤ㄵ扤搷ㄷ〸戵㔴㉤慢㌹戸戹搰戵挸㕡攴㌴㉦㕣挴㤳㐱㉣㝥搶搶搲戵㍤㍥昶㥦挱戲㥦㈷㜹〱愴慥慥捡㝡㤱㈰慢捥㝥挹㉤搷っ挷晦㙢扥ち㔵つ㉤㕢㔶扤戰㐴搹㔹搳㡡慢愷捥㍥㝤㠲㝡㌹㈵摢戹愸㡢扢㘷敦㐲摡晢ぢ挹㕦㐱㙡㐶㠰慣㜲㤱㡢㘷捦㝤戹㤶㌷戰ㄵ㙢㌴㔹慣愰捡搱慤戲㌵慤敥愲㕣愳搳㤹户戹㝡㌷ㄵ挷捡㔲ぢ㕢㌸昸〷戴㜲敦㜷㤶㜶㌵㘶扢戲晤㕡戱づ㠸㈸搹〰㡤ㄲ㉤㜷㡢㥡〳㠵㘷戴敢㜴〹ㄶ㐲戲改戳搲㕦ㄸ慥㈵ㅣ㌸㌸㕥慡晡㘸摡㝢㈷搰㜶㕥㡢㔹攵㍢㝡改㝡ㅥ㤶ㄹぢ㤳㥤戶㜹换づ㜰㍡〹慦戵㝡㜵㘵昹攱㐵㘳㌳昳戹昹㕤捤㉤㥤愳搱搲挹ㅤ敤㑢づ昸㙦摡愱㉤晢㘵㄰昳愹搹ㅡ㝢昱敡昷〹敥慡敡㜷㄰㘳搳搴㔴㔵㑢㙢攴搸㕢㤰㜰㙦㠵戱㥦昰㥦㝣散搷昱㕦㕤㙦戲㥡㤱㐰慣挹摡㘷つ昰〳㕡攱愱㜹ㅤ㡥慣收搶㑡〱摥ㅥ搸扡㝢㝢挷攲㕣㝢晢㘲敥㑦㠳愴搴戹挸㜱扡戸㐲摡㕦慦〸换捡慦㔲㝤晡㤴㉣㘶晡㤶㔲㌷㠷㝤敢㉤㤰㠱攳㕢㕡㠶ㅡ㡢㥤搶摢㘰昵挱㕡慤戵ㄲㅢ敢挸扥㌹㜴㙥㔷㠷㤳㙤ㅤ扤戴愵戳㔵㙤㠶㙥㜳㕤昱晤㈷㍥㕦昰㐳攳挳㤳敥㤹㌴㜲搴ㅥ昷挷㥢搵愶㕡搰㘳搹㜳㙢ㄸㅡ㠶慦晤ㅥ㠸摡〴㌰づ㈷搸㉥晤搸敦愳㙣㝦㐰昲㈱〸〶〵㜱㌳挶㠴㝦戸㐵戵つ晥攷戸㘰㝦㑣昲〹㠸ㅡ〵挲愳搲晥ㄴ挴㝣搴㘰搸㘷戰㈵㘰摢㠲摤㌳㘰㕦㠲㕢㘷昷㈲㔳摢〱挱愰搹㜴㤲晤㌶〹㕤愲㙡㘱㌸搰〱晤戴愰挷㡡敢づ㔰ㄳ〷㝣㐷晤ㅡ挰㠲ㅤ昰㍤敢昸㠱攴㐷㄰㥦〳戸攷愱愸挲㘰㡢〳㜸㉣摢搵㈰㉡ち㤶㌸愰て㑡收愳扥晦搱攷㠰〸搸㍤ㅤ搰㡦㌶敤㕥㘴㉡〶扤㈰〷㝣〵攳㠱づ昸㔲ぢ㝡慣昸㈶㘱㘹ㄸ㕢ㄱ㘲㤳㍦〷㉣搸〱㠳㈱戶搷㈵㔹て挴攷㠰つ摣愲㑡挱㠸㌸㘰㐳㠲㠶㠰愸っ㔸攲㠰㡤㔰㌲ㅦ昵扥摦〱㘹戰㝢㍡㘰㔳摡戴㝢㤱愹ㅤ愱ㄷ攴㠰扦㔵㜲挰敢㕡搰㘳捤㜹っ㉣つ㘳㉢戶㘴㤳㕦慤攸㠰慤㈱戶户㈱搹ㄶ挴攷㠰敤摣愲ㅡぢ㈳攲㠰敤〹ㅡつ愲ㅡ挰ㄲ〷散㠰㤲昹愸㍦晢ㅤ㌰づ散㥥づ㠸搱愶摤㡢㑣㡤㠷㕥㤰〳晥㔴挹〱㡦㙡㐱㡦㘵敦㐶㔸ㅡ挶㔶散㡣㑡搵挳ㄵㅤ㌰ㄶ㘲㝢ㅣ㐹〳㠸捦〱ㄳ摣愲摡〵㐶挴〱ㄳ〹㙡〴㔱㤳挱ㄲ〷散㠲㤲昹愸摦晢ㅤ㌰〹散㥥づ㤸㑡㥢㜶㉦㌲㌵〵㝡㐱づ昸㑤㈵〷慣搰㠲ㅥ慢敥扢挱搲㌰戶㘲づ㥢㝣㑢㐵〷捣㠳搸㥥㑦戲〰挴攷㠰㍤摣愲㥡〶㈳攲㠰㍤〹摡ぢ㐴捤〰㑢ㅣ戰㌷㑡收愳㝥敤㜷挰㜴戰㝢㍡愰㠹㌶敤㕥㘴㙡㈶昴㠲ㅣ㜰㜱㈵〷㕣愴〵㍤ㄶ晤攷挰搲㌰戶㘲ㄱ㥢㝣㐱㐵〷散て戱扤㤸愴〵挴攷㠰㌶户愸收挲㠸㌸愰㥤愰〳㐰搴㝣戰挴〱〷愲㘴㍥敡っ扦〳收㠱摤搳〱㑢㘸搳敥㐵愶ㄶ㐰㉦挸〱挷㔵㜲挰戱㕡搰攳戶挳㥥戰㌴㡣慤㌸㠲㑤㍥扡愲〳㡥㠲搸㍥㥡攴ㄸ㄰㥦〳㡥㜳㡢㙡㉦ㄸㄱ〷ㅣ㑦搰〹㈰㡡户ㅣ挴〱㈷愲㘴㍥㙡愹摦〱㝢㠳摤搳〱愷搲愶摤㡢㑣敤ぢ扤㈰〷戴㔵㜲㐰慢ㄶ昴戸攷搱〴㑢扤㕣愲㤷摣㘶㔸て搸㤲㑢昴〱挵㐹捤㉤㕤㑥㠷㕣㠵搵ㄷ昱㥦㝢㥢㕤捡〳㜹攵搹㤱捤扢㌷戰搷㉢㑥挴挵㈷敥敢㜷㉤敢扥ㅣ敦㜱昱敢㕥ㅢ晥扦㑢晣㥦摤㈵扥㕣攰㤷㕣收昷㜲〹㡤㥤愶散㈲扦㜷戰㙦㈷攲搵㙤攰〹戹散㔲愳㘱戹㜴㈷㈳扥晣敡㐱㤲ㄷ㍣扣㝦㈷㈴㍡㕣昹搲㥦㍢㝢捦㥤㤴㑡ㄵ㉦戳㜹㈵晤晦ㄶ㈹捡戳慦摣㐵㡡昳㌸ㄲ㥥㑦昲㉢㤲ぢ㐸㉥〴㔱ぢ㉢づ戳ㄷㄳ㜳〹挹愵㈰扥㘱昶㜲ㄴ慤㉢㐰〶㡣㕦搲搵㍥㔴〷戵㑥愹晤㄰〰ㄹ㜷慦愴搶㔵㐴㉣〷㤹㌱挵㘹挱㙡搷㝦㉢摤愹㈶㠷㙡㝡扦㍥挷捥㌳ㄸ愰つ㕡攷㉥㙢换㉦敡㘸㙦㐳搲ㄹ㤷つ挶攷戹㌰慦戲㔶敢戴昶㠹㑢扡慣搶㈹捤昸㙦㐰敢ㅣ攷〰㈷摢㌵ㄱ慢㤹㔸㤳㤸㠶㥢挹㜲㔵㌷戵戰昴晦换ㄵ㠹慡扥攸㐲㤵㠲〳捤愲㠴㉡㍦㜴摤戵〱敤摥搱㡤敤挸㍤㜳㈴敤㡥㙥户㉣慣㉥晤っ㤷ㅣ慡散慢搱扡㉢扥扣㜱愷㤱㤷慤昸㐹晦㝦㈴慥昹攴㘳晤ㅡ挲ㅥ㌷愵㝢㉣㈷㕣ぢ㔴㥤㑤㙣捦㈹㕢㘴㉡て攷㜹搳戲㜵ㄳ㤰㝤戰㕢戸㔷愸㜳㉢㑤捤㜳戴愰挷ㅤ敦㈲慣つ挳搷㕥〱㐳㙡㔶挵㠳收户㙣搱㙤㈴户㠳昸づ㥡㍢摤愲㕡〸㈳㜲㡣晣㡥愰扢㐰㔴㌳㔸㜲㙥㜲㌷㑡收愳㈶愳づ敦ㄲ㝤ㄱ搸㍤㍢晡㐷摡戴㝢㤱愹晤愱攷㌹挱㜷㠹㍥愶㤲〳㜶搶㠲ㅥ昷摣㕢㘱㘹ㄸ㕢昱㈸㥢扣㘳㐵〷㍣〶戱晤㌸挹ㄳ㈰㍥〷㍣攵ㄶ㔵ㅢ㡣㠸〳㥥㈶攸ㄹ㄰㜵〰㔸攲㠰㘷㔱㌲ㅦㄵ昱㍢愰ㅤ散㥥づ㜸㠱㌶敤㕥㘴敡㐰攸〵㌹㘰慢㑡づ搸㔲ぢ㝡摣昳敦㠲愵㘱㙣挵敢㙣昲㠸㡡づ㜸〳㘲晢㑤㤲户㐰㝣づ㔸改ㄶ搵ㄲㄸㄱ〷扣㐳搰扢㈰敡㘰戰挴〱敦愱㘴㍥㙡ㄳ扦〳づ〲扢愷〳㍥愴㑤扢ㄷ㤹㕡ち扤㈰〷慣㔳挹〱㈱㉤攸㤱㜲㜰㈸㉣つ㘳㉢扥㘴㤳〷㔵㜴挰㍦㈱戶晦㐵昲㌵㠸捦〱晦㜶㡢㡡㈹〸攲㠰㙦〸晡ㄶ㐴ㅤ〱㤶㌸攰㍢㤴捣㐷搵昸ㅤ㜰㌸搸㍤ㅤ昰㈳㙤摡扤挸搴㤱搰ぢ㜲挰㝦㝥愸戰㐸昳㥤ㄶ昴挸㝡㌸〶㤶㠶戱ㄵ晤慡搱攴㙦〰ぢ㕥愴㘱㐲戳㕤㐷搲ㅦ挴攷㠰㠱㙥㔱ㅤぢ㈳挳㘹㘸㄰㐱昵㈰敡㜸ㄴ挵〱㤲〰㡤〲㍦敡㜳搴攱㡤〱挷㠱搳搳〱敢搱愶摤㡢㑣㥤〰扤㈰〷晣扤㤲〳摥搳㠲ㅥ㘹ㄷ㈷挳㤲㌸㘰㔳㌶昹㥤㡡づ搸㥣摤ㅡ㑡㌲㡣慤敢㕥愷摣挲㉤慡㔳㘰㘸㌸扢㌳㠲愰㤱㈰敡㌴ㄴ挵〱㕢愲㘴㍥敡㔵扦〳㑥〵扢愷〳戶〵扥捥敥㐵愶㑥㠷㕥㤰〳㥥慢攴㠰㘷戵愰㐷搶挷㔹戰㈴づ㠸戱挹㑦㔷㜴㐰〲㘲㍢㐹㤲㘲敢扡ㅤ㤰㜱㡢敡㙣ㄸㅡ捥敥散㐸搰㑥㈰敡㕣ㄴ挵〱㍢愳㘴㍥敡㘱扦〳捥〱扢愷〳ㅡ㠰慦戳㝢㤱愹昳愰ㄷ攴㠰㝢㉡㌹攰㙥㉤攸㤱㜲㜲〱㉣㠹〳愶戲挹扦慢攸㠰摤㈰戶愷㤱㑣㘷敢扡ㅤ㌰搳㉤慡ぢ㘱㘸㌸扢㌳㡢愰搹㈰敡㘲ㄴ挵〱㜳㔰㌲ㅦ㜵㡢摦〱ㄷ㠱摤搳〱ぢ㠰慦戳㝢㤱愹㑢愰ㄷ攴㠰慢㉢㌹㘰戹ㄶ昴挸㜸戹ㅣ㤶挴〱㑤㙣昲㤵ㄵㅤ㤰㠵搸捥㤱攴搹扡㙥〷㌸㙥㔱㕤〱㐳挳搹㥤㈲㐱ぢ㐱搴㔵㈸㡡〳ㄶ愱㘴㍥敡〲扦〳慥〴扢愷〳㕡㠰慦戳㝢㤱愹攵搰ぢ㜲挰改㤵ㅣ㜰㥡ㄶ昴挸戹戹〶㤶挴〱㑢搸攴㔳㉡㍡攰㘰㠸敤愵㈴换㐰㝣づ㌸搴㉤慡㙢㘱㘸㌸扥昶㘱〴ㅤづ愲慥㐷㔱ㅣ㜰〴㑡收愳㡥昶㍢攰㍡戰㝢㍡攰ㄸ攰敢散㕥㘴敡〶攸〵㌹攰攰㑡づ㌸㐸ぢ㝡㘴晤摣〴㑢㕣愸戱㑦㘵扢㑦㈳㌹㥤攴っ㤲㌳㐱搴〱摡㈹ㅢ〰挵ぢ搶扢晡㔴㔵㜱㥡㐷摡ㄷ㌱攷㤰㥣ぢ〲愷㔸攷攱晦〱㌸㉦㘵㡡挲ㄲ㍣捥戰っ㜷㜳捥〷捦晡ㄵ㐸扤挹㙤ㅤ敡㕥挲攳ㄲ敢㘶㤸ㄹ㑥㔳ㄷ㐰㙥㕦〸愲㙥㐵㌱㠷㙦㤵㝤ㄱ㡡ㄵ捦慢㉦㠶㌰㈰㌵愹挷㤹昵愵挰搵搹㐴昷昴戳挸搴ち搴搵敤㑢㥥㔹扢㘷搵晢㔶昲攵㍥㕡搰㈳攷改㌶㔸㤲㥤改ㅡ㔴愷昶搲㝥㘳㕦㑡㍥昶㜵㙣捤昵㈴㌷㠰昸㜶愶㥢摣愲扡ㅤ昸攱昸摡㌷ㄳ㜴ぢ㠸㘲挲㤳散㑣户愲㘴㍥㙡㌶敡昰㘶搴㍢挰敥搹挹摢㠰慦戳㝢㤱愹摦㐱慦摢〱㙦搳捡㑡㄰㌵戹㤲〳㈶㘹㐱㡦㡣慢㝢愰㈶づ昸〳㥢摣㔸搱〱昷㐲㙣摦㐷㜲㍦㕢搷㍤㥣㍣攸ㄶ搵敦㘱㘸㌸ㅢ昲㄰㐱て㠳㈸收㕢㠹〳ㅥ㐱挹㝣搴㑥㝥〷晣〱散㥥づ㜸ㅣ昸㍡扢ㄷ㤹扡ㄷ㝡㐱づ㠸㔴㜲㐰㔸ぢ㝡㈴㝣㍤〰㑢攲㠰攷搹攴搱ㄵㅤ昰㈲挴昶㑢㈴㝦㘱敢扡ㅤ昰戲㕢㔴て挲搰㜰㝣敤㔷〸㝡ㄵ㐴㍤㡣愲㌸攰㌵㤴捣㐷㡤昴㍢攰㈱戰㝢㍡攰㑤攰敢散㕥㘴敡ㄱ攸〵㌹㘰㤳㑡づ搸㔸ぢ㝡攴㥢㍤〶㑢攲㠰て㔰愹ㅡ㔲搱〱ㅦ㐱㙣晦㠳攴㘳㄰㥦〳㍥㜵㡢敡㜱ㄸㅡ捥敥㝣㐶搰攷㈰敡㐹ㄴ挵〱㕦愰㘴㍥慡摥敦㠰㈷挰敥改㠰㝦〱㕦㘷昷㈲㔳㑦㐱㉦挸〱㌵㤵ㅣ搰㔷ぢ捡搳摤㙡㥥㠵愵㌵㐸㔳敡捦〶ㄷㄷ㌴㍢〷㌳慦㘲㔰ㄱ㡦㜳㑤㕣搲搹搵㉥㐹㈰〳㡢㡤敤㌳摡扢ㅡ㥢㍢て㘸挹㉥㕢户愸㌷㜶㕦攴戴㈱㐵慢〳㤹㕡㘵扣昶〳づ㜰ち㜶㜱㙥晢㤲㡥扣㌳戵昱攷㤰挲㠵晥㈱㜴㤲扤㔵慤昰㔹扢慣愴㉡㘸㘲㉦挱愷慡㠶戹㐴攵挹㈵扥㜵搹敥㕢〰㈱〰敢扢㍤㍡慦戹慢挵改㕦ㄴ戹㙣搷ㄶ攱㐵攴扤ㄵ晡ㄵ攷㉤㐲搲㐵攳挰攲攴㡥收㐲㑢㜳㥢挳㘰攰戶〲㥦㤱㥢收㉣㐴㡥摢慣昶捥㘶㍥扦㌷戰㌸慦㈳摢搶㜹〰搳㜵昲换〶㤷㤴㘴㤵慤愶㌸愱戹慤ㄳ搵㐸ㄴ戹㕤㕦㥣扢愸晤㘰㍣㑡扡愴戵㙤㜲昶㠰捥㥦㐵㔴ㄴ挳㈲ㅦ〹㡤慡㔶搵搵慡戶扡㜶㙤攳㘳晤㠰㘳㙣挳敥㌴摦愱搸㔷扢㍡㥡㜳㑢攸㌴愹㈷ち摡㤷㐴攲㔸㔵昳㍣戶㝡㔹㕥攷㈲扢捥㍥㘴㘶ㅤ摢㕢昲ㅣ㑣㘰㤲㤷昷㡣㉥捦㔳散ㅦ搱愴〱㍦㠱散㍡㜹晥搴敥㥣搳晦慢〷㕥㙢㕥㠰攵昲㜵换昲扤捦㑢昱㕢ㅦ攰㐱敥㙥㐴ㅥ昷㉡ㅣ㥤搸ㅢ㔸㉡摦㌵敢㡡㠲攱㕥㍡愸㝢㜳ㄲ戲挴〶ㄴ愷㘵㜳㑥ぢ㑥㥦㕡戳㕤㠳摣〲㙦㌵戴㘶㕢㍡戵㙣㘲㝢㙢㙢㤶扢ㅤ㜷搹戹昹㙣㡢㔳㕢攴㜲㌶㥥㤵戴㡢㈰戲㙦㙡㔶㜶㈹㔸搹愵挲ㅡ㔰㥣挳愴㔷搹愶慤昶㠵搹㡥收慥㐵慤捤昹㕡ㄶ㤸㤸晡戳搸㕦㌱㠶昴㠵㌳捤挷㡣㈷攵敢收敥ち㌲挲㍤ㅡ愷㤸㜴ㅤ挳㡦扤扡㕡㔹昸愷搶㌲㈷ㄲ愳㡦㑣㉡戶挲愹㙦つ㉣捡㜰㈴㙤昹攲㈷㝤㈴㝤㜱㈴㌶㘴㠰㔲㉦ㄱ㠰慦㕤つ㌸㌷昸敤晢ㄷ㤰㕥ㄳ收晡〱㔰㌷慤㍤㕢㤸㠴ㅢ㥢敤ㅤ晤昴〳摡戵〸㉤㠷㥢㡥㄰㔳ㄸ㈷㈲㉢ㄶ搹戶〷㌵ㄷ㥣㡥㕡㌲收攲㕥㐰㕦㈶㍦㕡㙥っ戱㉥摣愷慡愶愶㝦㙤㔰㕤㔳㡤慤ㄱ㍡㌱捣晦㠰晢搴ㅥ昶㍦㤹㥤ㅥ搷挰㔶搵挹㌴〵挳㜸㠴㥤㝤晡㉢㤸散㑦ㄹ㠰て㐴摢ㄶ㐸つ搳昰捡㘳㔳㥡㑤㠸㥣㐳ㅢ愰扥昲㘸㌳昳ㅣ㙢㤱ㄳ㈸〹㤲㌵搲㤱晥扥挴㐶换捤㘹慣㌵捦㑢㕢㜳戱㤷㍢㠵㍡㜷㡣攵㥤㄰捣づ㔵搵搵㝤ㄱ㙡慢晣㡥㜳㡦㙡㘱慣㜵慥㈳ㄹ㡦㙡㌳㌴挱敡㠷ㄶて攳挱〲晢㑤㘵㡦㝡㝡捦って敦㜱㕡㔱㔷㘷换㔳晤㜵敡㜵㔸㌱敥攰㈱慦晤㔵㐷㜷昴〷㔱敦㠱挹ㄳ〳摦㌴愶摥㐷㤱㔳㔹㤵㌵〰㤰㌵ㄹ㍡搵〷搰攲昰㘹て愴昱て戱挵㔱挹摢㑢敢挱㕤昵㕥晡て㙡攰㙢㠷㘸㐴ㄷ搴挷搸㌰㕤㘹挰戶敥捡㍡挰搸㠳〹晣㈴ㄸ戰㉥〱敢ㄱ昰㈹〰っ扦戵㍥㑡㐳扢摤敡㝦㝥搹㜸㌵ㅤ攸搵つ愱㔸㔵愷扥昴搵攴昳敡㄰搶戴ㄱ㙢晡づ㠰㜲慦㌲愵捥昵敡挶㠰慣㤱㔷㝦㠰慡㜸㜵ㄳㅡ晦ㄱ愵ㄲ慦㙥ち敥慡扤㑡㑦㡡㔷㌷愳ㄱ搸㤰㉦㜷捦〰慦㙥づ㡣㍤㤴挰敡㘰挰㌰〲㠶ㄳ搰〷〰昱敡ㄶ㈸昹㜶搶搲愷戲戵㕦㤳㠱㙥ㅤ〹㑤戸㤵㜹㠰愶㉤㍥户㙥挹慡戶㘲㔵捣搹㉢㜷㉢ㄳ昵㕣户㙥つ挸ㅡ戹㤵改㝤攲搶㙤㘸㝣㍤㤴㑡摣㍡ち摣㔵扢㤵昹㠰昸挳戳敥㌴㘲摣捡愴㐰搳㤵〶㜶捥ㅤ愷戶〷挶ㅥ㑤攰㤰㘰挰づ〴㠴〹㘰づ愱戸㌵㠲㤲捦慤㈵㡦㝢㥢扤㌵ㄵ攸搶ㄸ㌴攱㔶㘶ㄷ㥡戶昸摣ㅡ㘷㔵〹㔶挵㑣挰㜲户㌲晤捦㜵㙢ㄲ㤰㌵㜲㉢㤳〶挵慤㈹ㅡ㘷昶㘰㠹㕢㌳攰慥摡慤捣㌲挴ㅦ搶㙤㘹〴ㅢ昲㘵慡愱改㑡〳㍢攷扡㜵㈷㘰散㥤〹ㅣㅤっㄸ㐳挰㔸〲㤸㤹㈸㙥ㅤ㠷㤲㙦っ〸㜲㙢戰㔷挷㐳ㄱ㕥㘵捡愲㘹㡡捦慢ㄳ㔸搳㐴搶挴昴挲㜲慦㡥〵捦昵㙡㈳㈰㙢攴搵㜱㔰ㄵ慦敥㐲攳つ㈸㤵㜸㜵㌲戸慢昶敡〴愸攱てて收搳〸㌶攴㍢ㄱ搴㜴愵㠱㥤㜳扤㍡ㄵㄸ㝢㔷〲ㅢ㠳〱扢ㄱ㌰㡤〰愶㍢㡡㔷愷愳㌴扣㝢㘴つㅣ〳㈲昱挰扤㜵㈶㔴攱㔷㘶㐲㥡挶昸晣㍡㡢㜵捤㘶㕤捣㕡㉣昷敢㍣昰㕣扦捥〱㘴㡤晣㍡ㅦ慡攲搷戹㌴捥㑣挷ㄲ扦捥〷㜷搵㝥摤〳㙡昸㐳愶㈴㡤㘰㐳扥㑣㡢㌴㕤㘹㘰攷㕣扦敥づ㡣扤〷㠱㑣㤹っ〰散㐹挰㕥〴㌰㡢㔲晣扡㌷㑡慢昴㙢㈴搰慦晢㐲ㄵ㝥㙤昲搵攵昳敢㉦㔹㔷ㄳ敢㘲㌲㘴戹㕦㤹〱改晡㜵㍦㐰搶挸慦㡢愱㉡㝥捤搲㌸ㄳ㈸㑢晣㥡〷㜷搵㝥㙤㠳ㅡ晥慡散〲㡤㘰㐳扥捣戶っ㜰㥢〳㡣㕤㈴㤰㤹㤸〱㠰㠵〴㉣㈲㠰挹㤹攲搷㘶㤴㔶㌱戸㐶㠳摤扡ㄸ㥡㜰敢ㄲ㕦㔵㍥户戶戰慡㔶㔶㜵〴〰攵㙥㍤ち㍣搷慤㙤㠰慣㤱㕢㡦㠶慡戸戵㥤挶㡦㐱愹挴慤〷㠲扢㙡户ㅥ〷㌵晣㔵搹ㅤ㌴㘲摣捡ㅣ捥〰慦㜵〲㘳昳搵㔲㡡昹㥤〱㠰㈵〴ㅣ㐴〰㔳㍥挵慤〷愳攴ㅢ㕣〳㑥戰愲搱挰㥤㜵ㄹㄴ攱搵㔳㝤㌵昹扣㝡〸㙢㍡ㄴ愴收㍣〰㝡戹搶挵㍡扦㉦ㄷ㙦㄰㙣㕡挵昹㙤捤㕤戸っ攵攰㌴愹戹ぢ㈷搴〳㡡㈰搸㤴愴戹㡤攵昲搴愷㌴捡㕢晡摡扣愷愸㘴㉤㙣戳㥥㜲晦攲搸㠸〰戱扢㙣收㕢㉤㕢ㄵ㐸㤶捦〲摡昸㜳㕡㑦㔳㙥ㅥ㤵㕥㔲㔳㈳㉢愷ㅣ晡晣捥攵㤰晦㡢搵㌷戹昴挱㑤㉤敥㌶扥㠵戸昳㔷戹㝢昸戲㉦㜹〵㔹挷挵㌸㤷㌷㔰愷昷㑥㙤敢挴愵㙣㥤㉥㘱愱㘲㤰摥㥣戹愴慢㐴㤲㕤扡慥㤶攰昱愵㤹㙤㔸㕥捡㘷㍢ち㍦㤳戵〹昴捤㕤㐶㤳㘵㠶戵㕣攲㠴ㄱ㝥㝣㉢ち㤸换戸攰挹ㄴ挷㌵㐹㕣慤㠷㤵㠱㜴戵㤷捦㕡换搲㜴㈷摢㈶ㄱ㤸摢㔵㘸㜴づ㤲戵收㔹づㄶ㡡昱㈶戱ㄶ㘷㕤㔱昰㡡㜲つ㙥ㄷ挷攷㍡戱㙥搹挵〵㈹扤㈵〷戸㕤㥣攳戴㘴昹㥣㌱搶㡦昴搶慣㝣ㄷ搲戴㍤〳㝣㠶昸攷ㄳㅤ㜸愴慦㡥㤰㤲ㄸ㔹扤㡣㙢愵㥤攰戱戳㤶ㄱ㐵摣㡡昲昹㙣㥣扡昸㈲㝥㙥ㄸ㔷㘵㌶ㄸ㕢〴㤷愹慢扤㉣㠳㘲㡣昵㘷ㄹ昳㈸㕡搷㈴扦扢㈳㥢っ㕡〳っ㡦㙢愵〳戹慥摤搱㠵〷敤昹ㄲ愱㝡ㅥ㌶㉤㔸㑣敡㙡挶戲㘰换戲㐱挵愹㙤昹㤶㈵〵㐷搶ㄴ捤㔸㉤㑢㡢㍦㡢㜸昵㠵㐳昴搱搴㡢㕦戴㔳愶攲㉤㡣收挱敢戵扦戹㘰ㅦ挱㈹㡦户㡥㔵㤵慡戳㡦㐲㠹愱戹㄰㉤㔹攳㤴敥㍡㔸ㄹ摣晤㐰㠲扣㥢て挳㕡てㄶ挷㌳愶收㑥㌴㔹攱㜲挴昹㘰搳摡愷戵昳收㠴㡦㌵愵搹㘵晤㉣攲㠴㝥扡㘱戲㉣慣慣慥攵ㄱ㐲㈳ㄸ昱攴扦慡㉦㤸摢㠶捦ㄷ攳攸㝦㐴㐰㌱㘷㕢㑥攱攰㔵㙣㐶㈱慣㈶搱㘲㘶㜳换㘹摡搱㠸㤸㘲㕡户㝢㥡收挶搲㍥ㄶ摣㔵㥦愶㕤づ㌵晣㔵搹挷〱捥㌵㘶㝥搵㤵㘰㤹戳戰㕡愹㔰㤶㐰㡦〷挶㍥㠱戵㕤ㄵっ㌸㤱㠰㤳㐰㙡慥〶愰㝣㤰愹㤸攰っ㠵慡㥡㔶慥㘴搶戶㜲㐵ㄷ㠷愸㠵〷挴㤱挰㡤㔵㘱慢㝦敤㜲ㄸ戳㑦〶敡㤹愷㥦ㅥ〳㙣㤵㘲㔶戰㘹㘰愸扢㠱愷戰晥㔳㐱ㄴ㌳㝢换㑦㠹㤹捥敢㥥ㄲ㥦〶挸ㅡ㥤ㄲ㌳〹㔸㝣㝤㍡㡤㌳ㅢ戸攴㤴昸㑣㜰㔷敤敢㍢愱㠶扦㉡晢㉣ㅡ㘱㌷昸㘵敡戰改㑡〳ㄸ晡ち敥㙣㘰散㜳〸㘴㕡㜱〰攰㕣〲捥㈳攰㙥〰攴㤴昸㝣㤴㔶㜱愵ㄱ〹〷㥥ㄳ㕦〰㑤㥣ㄳ㌳〷搹㔴戵㝥㜷㕢㉥㘴㔵ㄷ戱㉡收ぢ㤷扢㤵㐹挲慥㕢㉦〶㘴㡤摣捡搴㘲㜱敢㈵㌴捥ㅣ攳ㄲ户㕥〶敥慡摤捡㕣㘴晣㔵搹㤷搳〸㌶攴换㠴㘴搳㤵㠶敥慥㕣〱㡣㝤㈵㠱㑣㔶づ〰㕣㐵挰㜲〲㥥〵㐰摣㝡㌵㑡㍥户〶㉥㌸〴慦攳㕣〳㑤戸㤵㤹捤愶㉡㥦㕢慦㘵㔵搷戱㉡㘶㈱㤷扢㤵愹挷慥㕢慦〷㘴㡤摣晡㈶㔴挵慤㌷搰昸㕢㈸㤵戸昵㈶㜰㔷敤搶㤵㔰挳ㅦ戲㜰㘸〴ㅢ昲㝤〷搴㜴愵㠱㥤㜳搷ㅢ㙥〱挶扥㤵㐰收㐶〵〰㔶㄰昰ㅢ〲摥〳㐰摣晡㕢㤴㔶戵摥㔰攱挲昸㜶愸挲慦㑣㤸㌶㜵昹晣㝡〷敢扡㤳㜵㌱戹戹摣慦捣㘸㜶晤晡㍢㐰搶挸慦晦㠲慡昸昵㉥ㅡ晦ㅡ愵ㄲ扦摥〳敥慡晤捡挴㘹晣攱㉤㑢㌴㠲つ昹㝥〳㙡扡搲挰捥戹㝥晤〳㌰昶ㅦ〹㘴㘶㜵〰攰㕥〲敥㈳㠰挹搶攲搷晢㔱昲㕤ㄸ〷慤㍡㘶〲〷㠱〷愱〸慦晥攸慢挹攷搵㠷㔸搳挳慣㠹ㄹ搳攵㕥㘵㥡戴敢搵㐷〰㔹㈳慦㌲戹㕡扣晡㈸㡤昷㐷愹挴慢㡦㠱扢㙡慦づ㠴ㅡ摡㡤愷ㄵ㘸〴ㅢ昲㘵㑡㜶㠰搳㥥〰挶㝥㤲挰晡㘰挰㔳〴㍣㑤〰㌳戸挵慢捦愰攴ㅢ〴㠲扣ㅡ〹㕥挵㜹づ㥡㜰㉢㜳扢㑤㕢㝣㙥晤㌳慢㝡㥥㔵㌱て扢摣慤㥢㠳攷扡昵〵㐰搶挸慤㑣搹ㄶ户扥㐸攳挳㔰㉡㜱敢㕦挰㕤戵㕢㤹攳㉤㙥晤㉢㡤ㄸ户㌲搱摢㜴愵㠱㥤㜳㜷搶㤷㠱戱㕦㈱㜰㘴㌰攰㔵〲㕥㈳㠰㜹攱攲搶搷㔱㕡攵㈰㄰扣㡥昳〶㔴攱㔷愶㡣㥢挶昸晣晡㈶敢㝡㡢㜵㌱扤扢摣慦捣改㜶晤晡㌶㈰㙢攴㔷㘶㠲㡢㕦㔷搲㌸㔳挲㑢晣晡㉥戸慢昶㉢㔳挷挵慦敦搱㠸昱㉢昳挷㑤㔷㝣㝥晤㍢㌰昶晢〴㌲户㍣〰昰〱〱ㅦㄲ挰㜴㜳昱敢㐷㈸昹〶㠱愰搵戱攰㌳㠱㡦愱〸慦㌲て摤搴攴昳敡㈷慣改㔳搶挴㥣昱㜲慦敥〶㥥敢搵捦〰㔹㈳慦㌲扤㕣扣晡㌹㡤㑦㐷愹挴慢㕦㠲扢㙡慦捥㠴㥡㜸昵㉢ㅡ㌱㕥㘵㔲扡改㡡捦慢晦〴挶晥ㄷ㠱㑣㔸て〰㝣㑤挰晦㄰挰ㅣ㜶昱敡扦㔱㕡搵摥ㅡ〹扥晦昸㉤㔴攱㔷愶户㥢扡㝣㝥晤㡥㜵晤㠷㜵㌵〱㔰敥搷㉣㜸慥㕦扦〷㘴㡤晣捡慣㜵昱敢て㌴捥昴昵ㄲ扦晥〴敥慡晤敡㐰㑤晣捡慢〳捦慦捣㜵㌷㕤昱昹㤵㤹㉡㌶㤲ㄱ昰㌴㙡㌰愰て〱㜸慢ㄹ㙥〷〰㈰㝥慤㐱㘹㔵㠳㙢戰㕢晢㐱ㄳ㙥㘵搲扣㘹㡢捦慤戵慣㡡扦㍢愰㤸攰㕥敥㔶㘶戵扢㙥慤〳㘴㡤摣捡㕣㜸㜱㙢㝦ㅡ㘷㔲㝣㠹㕢〷㠲扢㙡户㌲㜹㕥摣㍡㠸㐶搰て昹㌲㠳摥㜴挵攷搶㝡㘰散㄰㠱捣慥て〰慣㐳挰㘰〲㤸㜰㉦㙥㕤ㄷ愵㔵戹㌵㜸㙣㕤ㅦ㥡㜰㉢㔳昱㑤㔵㍥户㙥挰慡㌶㘴㔵愷〲挰㜵㜲扤㐶扡ㄱ搵㔰㔴挸づ搹ㄸ摢扣㡡㘵㔲㍤搷㑡捤愷挷ち㥦㍡ㅤ〸慥昲㌱㑦挰慣ㄸ㜹ぢ㐵敡搰昵㙥㥤扣昲㤰攳挶昱㥡ㄸ收㤸㤹捦㔵㈳晣戶〳㕢㈱换ㄶち换ㄶ㥢敡敡捥㠴㥣㑢ㄷ敥㐷㕦㕣ㅦ戵㜷挳㈹㝢搴戴㑦㍡昲愳㜱㙣ㅢ敤㌰㝢㕦㠲㉦搹昱搲敡㈸㜴晣ㄷ搸捣敤㤷㈰㙦づ摢㡡㐹晥㙥㤰昵〵昶㌰㜰摤㈰㔷敢晡㝣㕤〳挷慤㠷昹晦搲摣攱㠴愳〶㝥ㄵㄳ晥㡤㘳〷㠰愱㘷搰㉤㠰戱㐷戰㌶㍥っ㄰〰ㄸ㐹挰㤶〴昰昱〰㕥㘴摢㕢愱攴㕤ㄷ㌳愷摦愸つ敥戶扢㌵搵戶愱摡㌵〰㤴ㅦ〷㑣挸㜷㡦㠳㙤〱㔹愳攳㠰㘹晣攲愲㔱㌴捥㝣晥㤲攳㘰㝢㜰㔷㝤ㅣ摣〴㌵㜱搱㘸ㅡ愱㝢昸㘵昲扦改㑡㐳㜷㔷㜶〰挶づㄳ㜸㑢㌰㈰㐲㐰㤴〰㍥㉢㈰挷㐱っ愵摥㈷挳㐸昰ㄹ㜱〲㡡㌸っ昸㄰㠱㘹捡晡摤㑤㐹戲愶ㄴ㙢㘲挲㝦戹㔷㤹攵敦㝡㌵つ挸ㅡ㜹㤵捦〶㠸㔷㌳㌴㝥㍦㑡㈵㕥摤〹摣㔵㝢昵㐱愸㠹㔷㜷愶ㄱ戴㕡扥㝣愲挰㜴愵愱扢㉢㘳㠰戱挷ㄲ挸愷つ〲〰攳〸㘸㈰㠰て㈰㠸㔷挷愳戴慡挹㌰ㅡ㝣㤲㌱ㄱ慡昰㉢㥦㑤㌰㜵昹晣摡挸扡㜶㘱㕤㝣㡥愰摣慦㝣㜸挰昵敢㈴㐰搶挸慦㝣攴㐰晣㍡㤹挶昹散㐱㠹㕦愷㠲扢㙡扦昲ㄹ〵昱敢慥㌴㘲晣捡〷ㄵ㑣㔷㝣㝥摤つㄸ㝢ㅡ㠱㝣㠸㈱〰㌰㥤㠰ㄹ〴昰戹〶昱敢㑣㤴㔶攵搷㐸昰㝡挳㙣愸挲慦㝣攴挱搴攵昳敢ㅣ搶㌵㤷㜵昱昱㠴㜲扦昲㤹〴搷慦昳〰㔹㈳扦昲㐹〶昱敢㝣ㅡ晦ㄸ愵ㄲ扦敥づ敥慡晤晡㈹搴挴慦㝢搰㠸昱㉢㥦㝦㌰㕤昱昹㜵㑦㘰散扤〸攴戳ㄱ〱㠰扤〹搸㠷〰㍥㉥㈱㝥摤ㄷ愵㔵晡㌵ㄱ㜸㘵摣〴㔵昸㤵㑦㔲㤸扡㝣㝥摤㡦㜵㘵㔹ㄷ㜳慥愵て㌹㤶㜴ㅦ㙡ㄴ㑥戲捡搳㐱㝢愴敡㑡つ㐵㈶敤捥敤㕡搶㠲㐴㘹㙥㌲㍤搴摤攲戲㈸敥ㄳ㠲㠷愴搵昶づ摣㈶攸㕢晥敡ㄴ㑦㤷慦㑥改扦㕥搹摢㕦㐵㡤ㄲ收〴搷㕣昶㥦㥥㙦㌸昵昴搹昰敥㔷㐱㔲㠷ㅦ慢㠰㈶慥㌷扤㌹摦搱摥搹㕥散ㅡ㍡ㄷて〲っ攵摢㜴昱㌶㠵昰昸㥡㑢㘰㌱戰㑥㜶慣㙦ㅢ㝦㥦攷㈰扥㕤戲㙥㜱㕢晢挱㙤搲㥡㥡㑥扥㔴㔸晣搵慦ㅦ慢攱摤〳昹㙣〱攷㠵慡攱戶㄰㡡㜶ㄱ㈶〶搶㠷晡愰㑣㘳搶㐲搰㤱ㄳ㈷㑣㥣搳ㄴ㡤收搳昱㜴㍥㥤捣㈷愳昱㘴㈶㤲捤攰㕢㈸挴㡢㑥㈶ㄱ㑤攵攳搶㈲てㅡ㐹ㄶ攲㤰挴戲挵㑣㈴ㅥ㑢挴㜲㠹㘸㍣攵挴搲㠵㑣㈴ㄳ㑥㘷㜲㔶戳〷㑤ㄵ㜲昱㐴慥㔸㜴㈲愹㐴㍣㤷㑤㘷㈳攱㜴㍣㥢捣攷㈳〵㈷攲㠴㔳搶晥ㅥ㌴ㄲ㑢㘵㤳挵㕣扥㤸㜴昲昱㔸㍥㥡ぢㄷ㥣㜰愴ㄸ㉦挴昲㠵㐴㈲㥤て昵搵㡤戶ㄷ㐳挷㙥㈱㘹㈵㘹〳〹搵ㄸ㘱㍢㔹〷㤰ㅣ㐸搲㐱愱㘵㠴愵㑡㘲愸挶㠶㜰㜵㔳㝤㘱慣㑡攵㔴㕥ㄵ㤴搳户㕦扦ㅥ㌷捤㝢愴〸㝢敦㌸戵㉣㘶〸搷㥣㡣搰㤶摦㘹て㔶㉡摤㜳愸㡣㥤つ㑦㡥戲㔳换㐰敡㐲㜵扡㔷搶㈱㈸慥㌳㜱㐲㔳改㉦㍡㔹㠷㠲㍤ㄸ㙣扣㤲搳扣愴㤳〷㠱㜵ㄸ昸〳挰㤷晢㐴㜳昰捡㘳敢㜰㜰〶㠱攳㝢㔴㈲搴摦昸散〸〸攵㌱㍥㝢㌸ㅢ㌰っ㐴つ㠴㔰㜶戶㘳㈰攴㠶㝣敢挹攵昷㜰昴㤲㠷〵〴昸㔱〳㐰㉡敥敢敡㔰挰戸扦㤷敥慦㈱㔸㤱晤昵〴㈸㘳㝦㕤〷㘵㙣㔵㔹㈷㠲扡晢㙢㈲㤲㑥㘲晦㑣㠷愳戱㘲㍣㥥捦愴挳㑥㈴㥣㠸㘴㡡搱㜴㉣㤲㡢愴慣㤳㍣㘸ㄱ㍢㘰㈶㕦挴慢愰挳搸㥤㔲挹㙣㍣㡢㥦ㅥ㑢㈶攲㤹㘸㍡ㄱ捦ㄶ慣㤳㍤㘸愴㄰㑢挲㜲㈲㤶捦㌸戰㥡捤收戰㙢愷戳挹㕣㈶收愴戳搹愲㜵㡡〷㜵挲㠹㘲慥㤰㡢ㄴ戳昱㌸づ㤸㕣㍡ㅥ㡤㠷㔱㐳㈴㥢挶㑥㥦㡦㠵〶敢㐶摢愷㐲挷㍥㡤攴㜴㤲㌳㐰㐲敢ㅡ攱㤹㘴㥤㐵㜲㌶挹㌹ㄴ慥㘷㠴ㅥ扥摢㠶摡㄰㐲敥戳慡ㄹ㙥攳晥㈴晢挵㠵㔴扥〸愴㉥挴扣㘶㙣㔴搹摣㉦㙣敥〵㌶㐳㙥㌳捡愱㡤㡣昰㜲戲㔶ㄲ戶つ挹搶㈰㙡ㄳ㥡㘵㘹㌹㠴摣㐰ㄹ㡢㘹攴昲扢㉦㉡㌳㘱戵ㄹ㔶㡥㔶㙡㙦㜰㝢㐶㜰㌳㈸㐸〴慦〵づㄱ摣ㅣ㘵㙡㔸搷㠱敡〸ㄶ攱摥㘴㌴ㄵて攷ち昱㔴㌴㥥挹攷㈲戹㈴㥣㕤㜰愲搹㘲㌸㘹㕤敦㐱㌳㜱㈷㔹㐸㠵㌱戸㠴㌱㥥㈴㌳㤹㙣㌴ㄶつ愷㤲戱㘴㈱㕣㈸ㄶ㜲搶つㅥ㌴㥦㑦愵昲挹㔸㈲㤱㑤挵攲戹㐴ㅥ挳㐸戲ㄸ捤ㄵ㌲搱㈲㠶㤱㑣挱扡搱㠳㈶㔳挹㝣㌴ㅡ换攳攷戳㥣㌸㙣㘵戲㐹㈷ㄶ捦ㄴ㡢㤱㘴㉥㥤㉣攴㐳㐳㜵愳敤㥢愰㘳摦㑣㜲ぢ挹慤㈰愱㘱㐶戸㠲慣摦㤰晣㤶攴㌶ち㠷ㅢ㘱户㤲搸愰愶ㅡ〹愱㐴㜰慡㍦㠲㜷㔳昹ㅥ㤰扡搰㤶㐶㍢㈸㠲㕢ㄹ攱㝤㔴㤰〸㠶攱㔸昹㥤㉤戵つ㠴ㄲ挱㠷㔸ㄱ搸昲ㅤ㐵㉥扦㘳晣ㄱ攴㈴㈴ㄱ摣㈹㌰㠲摢㐱㐱㈲昸㈷攰㄰挱敤㔱愶㠶昵ㄸ愸㡥㘰㉣㥡㜴㜲昹㘴㈴ㅢ捥挷ㅤ挷㐹㈷ち改㐲摣㐹挴愲搹㐲㌴ㅢ㑦㔹㡦㝢搰㔴愲㄰㐹愴㌰㙢ㄴ㈲㑥扣㤸捥㘷㡢㘹〷㙦攰捦㈴㜱っ㈲㕥㜱敢〹て㥡捣ㄵ挳戱㡣㠳㕦〸㡣攷攲搹㘲㌲㔳捣㈶㌳戱㌸㜷㠱㘲㍥㤹捣㔸㑦㝡搰㘲㌶㤳㡥愶戳搸〳㤲㤹㜸㉣散愴昳㤱っづ搹㘴ㄸ㑦㌹㈱攸㠹㄰㤳户㠱挶㙦ぢ㠰摡㑦㤳㍣㐳昲㉣㐸㘸〷㈳っ㥡㌳挲㐶㐸㘸㤹扡㡡㐱㈸ㄱ摣挶ㅦ挱㔷㠸㝣ㄵ愴㉥ㄴ㌷摡㐱ㄱ㑣ㄸ攱㥢㔴㤰〸愶搸挶㈴㠸㑡㐱㈸ㄱ㝣〷㐲㉦㠲ㄹ㜲昹摤搴ㄷ㐱敢㍤㐰㉡て慤㥢〴㠶㜵㐷㔸㤱戰扥て㘵㠴㜵㈷㤴戱㔵㘵㝤〰敡㠶戵㤸挲㡦㌲攲〰㠸ㄵ㤲挹㜸㌶㠱㔹㍢㥡㉢收戳昹〴㠶戹㜸戴㤰戶㍥昴愰㤱㕣㌴㥡㑣昱㔷ㅣ㈳㠵㜸㌸㡤愰挶ㄲ㠸㔲挴㈹㈶昲㈹ㅣ㔸搶㐷ㅥ㌴ㄶ㠹挵㤳搹㐴㌸㤲捤挵攲搱㐸㉣㤷捥〰改挴愲㑥㉣挹〸㕢晦攸㠶挶㘳㌸㥤挸收㜲㌸㝡攳昱㘸ㄶ愳㙦ㄲ搶戳㘹ㅣ愵㌸散㜳㈱㈶㡦〳㡤㘷㝥㐱敤㑦㐸㍥㈵昹っ㈴㌴挶〸㍦㈷敢ぢ㤲㉦㐹扥愲㜰慣ㄱ㝡㜸㔷㥤㠶搴㜸〸㈵慣戶㍦慣摦㔰昹㕢㤰扡搰〴愳ㅤㄴ搶㠹㐶昸㈳ㄵ㈴慣㘳搹㐶摥㘶㔷扢㐰㈸㘱慤挶愲㠵ㄷ搶挹攴昲晢挳㜷摤㐳慢搵ㄷ㤰捡㘱晤て愰㍤挷摢㈹戰㈲㘱戵愰㡣戰㑥㐵ㄹ捤挰㌳㐹㈸扢㘱つ攳㡣づ㘷㜸搹㜰㈲㡥㤳户ㄴ摣㡢攱㌳ㅢ挵攸㔷挸ㄶ㔳戹戸㔵摢つ㡤㌸挹㌰㑦昲ち㐹ㅣ㜷昹㐲㉥ㄷ㜷戲挵㘲㌲㔱挴戱㡤㐹搴攲㙦㡦扡㔶㜱愸挷㜳昹㘸㌱敢ㄴ㜳昱㔴㉥㤶挹㘵㜲㤱㘴㌶㠹㌳扤㕣捡㐹愴慤㍡て㥡㡤㈵㌰㥤愶㘳挵㜴㌸㡣㜰愶㌱昸愳收㘲㉣㡢ㄳ扣㐲戴㤸て敤慡ㅢ㙤昷㠷㡥㍤㠰㘴㈰挹㈰㤰搰㙥㐶㔸㑦㔶㠸㘴ㅤ㤲挱ㄴ㑥㌳㐲㐲㕤㜵搱愴つ㌵ㄳ㐲〹敢㐷㜰㥤㌷㘳づ㈱㜲㈳㤰扡搰㉣愳ㅤㄴ搶搹㐶戸ㄹㄵ㈴慣扢㌰慣㡤っ敢㕣〸㈵慣挳㈱昴挲㍡㥦㕣㝥摦昰㠷㜵〴㈰㤵挳晡㝡㘰㔸ㄷ挰㡡㠴㜵㑢㈸㈳慣扢愳㉣㘱摤ち㘵㌷〰㌹挷㠹ㄴ㌳㠵㐸㌲㥡㑢㘲昲ち㘳昴㐴挴戲㌸㜶ㄲ㤹㐴㈶㤷戵戶昶愰戱㔸ㅥ㍦㌸㤵挴㠱㠸㠱搸㠹㘴戳搹㐸㍡㡤ㄳㄶ㥣㥦愷㌳㌸㤰慤㙤㍣㘸㍡㠷挳ㄷ㐷㙡㉣ㄱ㐹挵㥤㌰愶敡㜴㍡ㄹ㠶挹㝣㈶攳㘴愳㈹㙢㕢て㡡㘱㌷㕥㐸ㄴ㡢㘸㐸㉥㥥㑢㘳ㄶ㐸㠷㌱愱㈶戲挵㔸㌱㠶㐳㌶挴攴㜹㌶摡ㅥ〵ㅤ㝢㍢㤲敤㐹㐶㠳㠴昶㌴挲ㅤ挸ち㤳㐴㐸愲ㄴ敥㘵㠴愲㈴敡㔴ㄲ㜵戵㉦㠴ㄲ搶㈷晣㘱㑤㔳㥥〱愹ぢ晤搲㘸〷㠵戵挹〸挷㔲㐱挲㍡㡤㙤摣㡤㘱捤㐲㈸㘱㥤〰愱ㄷ搶㍣戹晣摥敢ぢ慢捤㐱㔸愶搱㍦〴㐶戰〰〵㠹攰㈴㤸㐲〴ㅤ㤴㈵㠲㤳㔱㜶㈳ㄸ㑦愷ㄳ㔹㕣㜰㌹挵㜰㌶㥥㑢㘵搳挵㕣㌸敡愴搲攱㜴㍥㥡㑤㈴昲搶ㄴて㥡㠰㈴ㅥ㡦攴ㅤ㈷ㄳ㡤攷㡢改㜴㈴ㅣ㉤㍡づ捥㜵㘲㜹㥣㍥ㄵ慣愹ㅥ㌴㥡挵㤱ㄶ㉤愶戳㌱㥣㡥㍡㌸㈷㉥愴㡢戱㕣ㄴ晦㐷㌰㑢ㄷ㌳搶慥ㅥ搴挱㈱捣㤹戸㤰挷搹㔸〲㘳㝥愶㤰挰挱㥣挷㠸㡢㤳愷㜸㈴㔴搴㡤戶㜷㠳㡥㍤㡤㘴㍡挹っ㤰搰㐲㈳っㅡ㙦ㄷㄹ㘱㠰愶㕡っ愱㐴昰〶㝦〴昷愰攵㍤㐱敡㐲㉤㐶㍢㈸㠲慤㐶昸㑢㉡㐸〴攷㌲㠲㜳ㄸ挱㜶〸㈵㠲㌹〸扤〸ㅥ㐸㉥扦㤷昹㈳攸㥤捡㕥ㄲㄸ挱づ㈸㐸〴㡢㌰㠵〸㜶愲㉣ㄱ㕣㠸戲ㅢ挱㔸㌸㥥㑦挵戲搸敢㌳ㄸ㌵愳搱っ扣ㅥ㉦㘶ㄲ㜱㕥㐹㌸搹㥣戵挸㠳㍡愹ㅣ㔰㤱㝣㌲㥣捣挷攳挵㕣ㄶ㌳㕤㉡ㄷ㉤㘴戲㌱〴扤㤸戵㥡㍤㘸㍥㤶挵搹㑣摣㠹收㌱㘰ㄷ㘱ㅦ㠳㉢㉥愶㌳㜹㈷㔵㐸攷ぢ㐹㙢晦㙥㘸㍡㥣㐴扣㜳搹㈸㠲ㅤ捦㐶㌲㐹〴㉥㤶㠹愷挲搹〸㘶敥㘸愸㑢㌷摡㕥っㅤ扢㠵愴㤵愴つ㈴戴挴〸捦㐴扦捡㉦㐶づ㌲㐲挱㡢㍡㤵挴㠶㕡〶愱㐴昰㘴㝦〴㤷㔲扥っ愴㉥㜴㠸搱づ㡡攰愱㐶㜸〴ㄵ㈴㠲㝣㐵戵晣㕡㘶捤攱㄰㤶㕦㉡晢㥥㡦昷㈵愵昳㜹攷㤰敦㐹〱戹攸㕥愷㌸㝢㐹戶〵扦㙣㍣ㄳ㘹慢㕤㘴晤ㅣ㤲ㅤ晢扡挹挳慢㕣㙦㤰㉥散扤㉦㉦晢换㝤㔰扡㕣愰晢㈶扦愳戲㜶愹㤳㜵㌵㐷㈰㜶慢㔷ぢて愴敥攵㉣戶づ㐱挲ㅢ㔱㡥㘵慣㤱攸㝡〴㡡慢㥦㙢㑢㙢敢㘲昹㑡晦㌲㍡㕦ㄱ㌰慡〵㘹挷慢昱㐶㠶攳㔰愱㍡ち戵搱㠶㝤㍣㑡扣ち收㔷ㅤ㙤戸㈷㄰㐳づ扦挷㤲换敦㌲摦㤱㙦㥤〴㐸攵㈹昹攰挰攱攰㌸㔸㤱攱攰ㄴ㈸摢愷㤲㥣㐶㜲㍡挸挰〱愱攳㜵昵搶ㄹ㈸敢昱ㅤ攳㜴㌸㤲挸㠶挳㔱㡣づ㌹㑣㡣㤹㐲㌴㠱ぢ搵㍣〷晥㘸㍥㜴㠲搶戱捦㠴㑥攸㐴㔳㍡㡢愵㤳㑣㠹戲晡㤳㔱攲㔲㠹㠵敦㝦昵ㄳ㍡〵㤶昱愷㔷つ扡ㄷっ㑥㌵晣昳㔱扦扤ㅦㄱ㑤㈰敡㜴昰挵昹ㄷ㠲敦戹昹㑣㜲昹㕤攸㜳戳敤㕤㘹㍡㠱ㅥ㍤ぢち攲搱㑢㘱ち〳散搹㈸换〰㝢ㄹ捡慥ぢ昳挹㜴㈴㔵捣㐷㘳愹㜸㈶㡥慢㡢㑣㈴㤲㉦㘰㤲挲挸㤸㐹挲慤搶攵ㅥㄴ搷㡤戹㝣捡㐹㍢昹㈲㔶㈷㔳㤹㉣搶㙦㜰慤㤹㉥㐴挳改㐲㍥㤹戳慥昰愰㠵㔴㍣ㄷ挳㜸㥣捤㍡㔹㉣㜴㘶㌳㐵㕣愱㘲〹〸㍦㥢ㅤ㑤㘰㤸戶慥昴愰攱㔴ㄴㄷ戸戱㘸㉥㡦搳㕦捣捦戹㕣㌱ㅡ挳㍡㔲㍥㥦挱攰ㅣ㡥㠵捥搱㡤戶慦㠲㡥扤㥣攴㙡㤲㕦㠳㠴捥㌵挲愰㉢捤昳㡣㤰㔰㔷㔳㙣㔰㕤㕤〰愱っ戰㜳攱㍡敦摣昵㔶㈲㔷㠰搴㠵㤸㔰㑡㘷〵慥昶㕣㘴㠴㜷㔰㘱㈵㘱ぢ㐹戰捥㕣愵㉥㠱㔰㈲㜸㌷㉢㈲㠷摦换挸攵㜷戲㍦㠲㝤〱㤱㤳㥣㕤〲㈳㜸㌹ㄴ㈴㠲㝦〴づㄱ扣〲㘵㠹攰扤㈸扢ㄱ捣㍡㔸㜷换攵ㄳ戱㔴㈴㠲戵㌷慣昵㐶愳挵㐸㍡㥢挰㈴㠵㠵㠱㠸㜵㥦〷〵㈳㥤㡥㈶㈲㔸ㄱち挷搳搱㐸㈶㤱㑦愶攲昸㑢㘰㔶挵挱㘳摤敦㐱㌳扣㥣挴㐲㔰搲㠹攰摣ㄳ㙢搶㍣㜱ち愷㜱搵攸㈴愳㤱㝣搴㝡挰㠳㈶搳〹捣㤹㔸㍣㡡愵戱㘰㤸㐸愶㔳戸攴㐸㘵㘲ㄹㅣ㥤昹㜴㌱ㅢ扡㔲㌷摡㝥㄰㍡昶㐳㈴て㤳㍣〲ㄲ扡捡〸敢挹㉡扢晡㔸㙥㠴㠲ㄷ㑤㉡㠹㈱㜵つ㠴ㄲ挱㤸㍦㠲捦㔲晥ㅣ㐸㕤攸㕡愳ㅤ㌴㐵㕥㘷㠴㉦㔱㐱㈲搸㠶㐸搸慤㡣搵つ㄰㑡〴㕦㠱搰㡢攰㑤攴昲扢㤵㉦㠲搶㙢㠰㔴ㅥ敡㐶〶㠶昵㘶㔸㤱戰晥つ捡〸敢㉤㈸㑢㔸摦㐰㔹ㅦ㤸㤱㑣㥡㔷㈰愹㔸㉡ㄹ㉦ㄶ攳戸〱㤰㜴㌲戹㜰搲挹收攳愹㔸挱㝡搳㠳ㄶ挲㔸愵㑤㘲攰换挶昲戸ち㡣攴戸收ㄷ挳慡㕣㈱ㄱ挱㌵㘰挶㝡换㠳㍡㔸晦㐱㈰㜱敤㤱㐶搴㜱㘷愲ㄸ挵㠸ㄹ挱搵㝦㈲㤶づ挷ㅣ敢㙤てㅡ㡢ㄴ㜲昹㜴〴㘷挰㘹摣㌶㐰昵㤱㌰敥㈰㈴㥣ㄴづ捥㈴㠶㡡㄰㔳㘹攵〰㔹〹ㅤ晢ㅤ㤲㜷㐹摥〳〹慤㌰挲扦㤳昵㍥挹〷㈴ㅦ㔲昸ㅢ㈳ㄴ扣㘸㔲挹愶㈱㜵㍢㠴ㄲ搶㜵晤㘱晤㡣昲捦㐱敡㐲㜷ㄸ敤愰戰摥㘹㠴晦ㄲ㠳㡣攸ㄲ㤲㉥㠶昵㉥〸㈵慣摦戰㈲㜲昸扤㠷㕣㝥晢昹挲摡㍤戴搶〴㐶昰昷㔰㤰〸㝥て㔳㠸攰ㅦ㔰㤶〸晥㠰戲ㅢ㐱㕣攳愷㜰㕣攰㌶づ㙥晣攰昶っ搶戱ぢ愹㝣慡㠰㙢戸㜰㌴㤲㈸㔸㍦㝡㔰㉣㠲攳戲㌰改㘰挹㍤㠹戵㌹ㅣ㤸愹㘸㌶㡢挰㠴昳㐹摣户㐹㕡㍦㜹搰扣㠳㙢㍦㠴㈴㤵挰〰ㄹ㡥㘷戲㑥㉥㠷㤵㈱㕣㠷㈴㘳㠵㜴㉣㙣㜱ち㜳ㅢ㤰㐳捤戸㥡挱㠸攰㘰捤㍤㤳捥㘰㥤㈷㤷㡤攵㌰扣㐷㘰㌴ㅡ㘲搲慥㐴㔰㐱挷慥㈶改㐳搲ㄷ㈴㜴慦ㄱ〶つ慤昷ㄹ愱㈸㠹㍡㤵㐴㕤㍤〸愱㐴昰㥦摦晡㠶搶㐱㤴搷㠳搴㠵ㅥ㌲摡㐱ㄱ㝣搸〸搷愳挲㑡〶㡦敦㙦㤶ㅦ㤳㔶㡦㐲㈸ㄱㅣ〲愱ㄷ挱挷挸攵昷〳㔴攸㉤愴㝢搷㡦㝦〷户攷挲捥攳㔰㤰〸晥〲愶㄰挱㈷㔰㤶〸㙥㡡戲敢㐰㑣㜱㌸挵捦㘵㥣㔴ㅥ搳ㄸ㡥㉦慣慦㜰㔵㌶㥡挷改㍦慥昷慤捤㍣㈸㤶挰㜳㔸㥡㡤ㄲㄳ捦㠶戳戸捣㑦㍡㜱㕣愷攷挳㔸敦挱晤戸捤㍤愸ㄳ㉢ㄴ㜹㐷愵㤰挷愴ㅢ㐹攷㌲愹㘸㍥㠷戹㌴㤵㑥愶㌱〷㘷慣愱ㅥ戴㤸挵㔸㡢戹㌵㤶㡦㈱㡥挹㐴〶㡢㜴搹㐸㉡ㄷ㠹㘰〹㌱ㄲ㡦㠶㥥搴㡤戶㠷㐱挷ㅥ㑥戲〵挹〸㤰搰㔳㐶ㄸ㜴晤昸戴ㄱ㡡㈶昱摤敡敡㌹〸㈵㠲㉦晡㈳㌸㥡愰ㅤ㐰敡㐲㝦㌶摡㐱ㄱ㝣摥〸攳㔴㤰〸ㅥ换〸ㅥ挳愳敤㐵〸㈵㠲㘹〸扤〸晥㠵㕣㝥ㅦ昳㐷搰㍢扤㜹㌴㌰㠲捣昷㤵〸敥っ㔳㠸攰换㈸㑢〴挷愰散㐶㌰㠱㌱慢㔰挸㘲摡换㠶戱㌰㤳捡㘵㔳戸敤㤹㜶㔲ㄹ㉣攸㠴㤳〹㙢慣〷㑤昱㉥〹㔶攱戰㘶ㄶ挵㌲㉤ㄶ㐷㡢㔸扣㜳㔲㤱㘸㉡㤱㜵㔲㈹㙢㥣〷㡤ㄷ攳㔹摣昶㡡㈵戱ㄶㅥ㡦攰ㅣ㈷㠷㝦ㄱ㡣换㤹㔸〲换敡ㄱ慢挱㠳攲愰挳捤㔶慣摢㈴㜱攱㥦㑣㠷戳攱㑣ㄸ扦搲㕣挰摤㌵摣挲つ㐷㐳捣㐵㤶㘳㜰㍣㜴散〹㈴ㄳ㐹ㅡ㐱㐲慦ㅡ攱㉥㘴㑤㈲㤹㑣㌲㠵挲搷㡣㔰昰愲㐹㈵㥢㠶搴ㅢ㄰㑡〴㙦昷㐷㜰〶攵㌳㐱敡㐲㙦ㅡ敤愰〸扥㘵㠴昳愸㈰ㄱ㍣㠵ㄱ㍣㤹ㄱ㕣〹愱㐴㜰て㔶㐴づ扦敦㤲换敦㜵晥〸㡥挰戸㈵愷㌷搷〴㐶㤰㤹挵ㄲ挱㝤㘰ちㄱ晣㍢捡ㄲ挱㝤㔱㜶㈳ㄸ㜵㌰㐱攱㄰挲㜲㘶㉣㥥㉡㈶戱㕡收㘰慤㥢㐷㈰敥㍡攵㔲搶㉦㍤㘸捥㠹㈶愲㌸㉣戰搸㠳㑢昵㑣㈱㠳敢晦ㄴ敥㐹㠶㜱㝦〳ㄷ敤㌹慢挹㠳攲〸㡥攰晡㍦ㅣ捥㘰〵㌶㥥㜶㌲ㄱ㠶㠴㡢㜶づ搰搸㉦昶昳愰㤱〲㐶㠰㜰㌲ㄲ㠱㠸㠷㙢扡㤸㐸攱〶ぢづ昷㔸㉡㥣㐸㠵㐳敦敢㐶摢㔹攸搸㌹㤲㍣㐹〱㈴昴㠱ㄱ㍡㘴ㄵ㐹ㄶ㤲㉣愲昰㐳㈳ㄴ㈵攲㕤ㅢ㔴㔷ㅦ㐳㈸ㄱ㍣搷ㅦ挱㌶㠲摡㐱敡㐲㥦ㄸ敤愰〸㝥㙡㠴㕤㔴㤰〸㥥㡤㐸挸㡦挱慢捦㈱㤴〸㉥㘵㐵㡣ㅥ扦㕦㤲换敦㠹晥〸昶㌵ㄱ㍣㍥㌰㠲捣㘲㤶〸ㅥ〶㔳㠸攰㍦㔱㤶〸ㅥ㡥戲ㅢ㐱㕣㤹攱㈲〳昷㡦戱㝣ㄹ㉦㘰昹㉤ㄶ挷攸ㄷ㜳㈲㔸慣㠹㈳扣搶ㄱㅥ㌴㤱捤攲㘰挹攲攸挴挱ㄴ挷㙤挶㜴㈱㠱ㄱ戱㤰㉣愴㈳改ㄸづ慣㈳㍤㘸㈶攲㘴㜹㤳愴㤸㐳搲〴愶捤㑣ㄲ㘶㈳づ捥㙦挱挱㤹愸㜵㤴〷挵慡㄰㈶捣㜰ㄸ改ㄱ戸挴挰慡㉡捥㘵㌲戹㝣ㄶ愶ぢ攱㘴㉥ㄶ晡㤷㙥戴㝤㌴㜴散㘳㐸㡥㈵㌹づ㈴昴戵ㄱ〶㥤愰㌲昵㕡㡥㕥挱㜷慢㔳㔳㝤ぢ愱㐴戰搳ㅦ挱㌳㘸昹㑣㤰扡搰㜷㐶㍢㈸㠲晦㌱挲昳愸㈰ㄱ攴㍢捣敤ぢㄸ慢ㅦ㈰㤴〸㕥挸㡡㑣〴㝦㈲㤷摦㠵晥〸㝡昳愰ㄳㄸ㐱戶㕦㈲㜸㈹㑣㈱㠲捣㡤㤶〸㕥㠶戲ㅢ挱㝣ㄴ㠷㕤㉣㡢㠵捦㈸收戴㌸慥㉣㜰てぢ㡢㘰戸㜳㤴挹㈷㌲ㄹ敢㜲て㡡扢晣〹㥣换㐴㤲㘹慣㠴㜳㔶㑢ㄶぢ㐹㥣㥤攲㤴㌱㡦ㅢ㤵戸㐸昴愰ㄸ㤰㘳㌸㤹挵挹っづ㔸晣㜸㜸ㅡ户愷㜳㤸㉡㜱〲㠴㤱㌲㤵戵慥昴愰戱㍣慦敤㘳〹散づ戸挴㈸昰挶〶づ㕤㐴摢㈹攴㜳挵㠴ㄳ慡搶㡤戶慦㠲㡥扤㥣攴㙡㤲㕦㠳㠴㤸捣捤ㅥ搹㐱昳㘰㕦㈳ㄴ㈵攲㕤㑤ㅡ㔲晤㈰㤴〸捥昵㐷昰㔶㠲㔶㠰搴㠵㙡㡤㜶㔰〴㙤㈳扣㠳ちㄲ挱㉢搸㡣换ㄹ慦晥㄰㑡〴敦㘶㐵㈶㠲〳挹㘵〴㈷〷㐶㜰㤷挰〸づ㠲㤲㐴昰㡦㌰㠵〸搶敢㝡慤㝢㔱㜶㈳㤸挴〴ㄶ㑦攴㈳㌸挵挴〵ㅦ㉥搸㈳㔹㡣㘱㠵㜸㌴㥦㈹㐲㤴戱敥昳愰㌸昵㜴昰ㅢ敥㌸捦挴㤵㕦ㄴ㐷㔹㈱〲㕡挴ㅤ攲〴㡥摣㘸摥扡摦㠳㘲戶㡢ㄶ㘳〸ㅤ㉦搶戳㕣㐲㑤㘵㜱攲㥡挹攰㌴㈶ㄷ捤㌸搶〳ㅥㄴ晢ぢ捥愵㌰㤷㈲〱㈹㕥㡣㈲敥㔸ㅢ㠸ㄴ挳搱㌰昶㠰㘲㌸ㅥち改㐶摢て㐲挷㝥㠸攴㘱㤲㐷㐰㐲敢ㄸ㘱㔰〴〷ㅢ愱㈸ㄱ敦㙡搲㤰㘲㤲戸㐴㌰收㡦攰戳〴㍤〷㔲ㄷ㘲㥥㌸晥㠲㉦昳㤹㍦㉥挲㤷愸㈰ㄱ扣㤶搸㙢ㄸ慦㡤㈰㌹ㅣ戱慡㔳㕢挳㌶搷晡㔰挰㥡摤慢戴㡢散敤㡤㈱㤷〸扦〶〶㐵㝣㍥㔹㙤〲㉥㔷昳散搷挱㔵㥢ㅡ捣摦㔰昲㔶摡㈴㤷ㅢ㘰晢つ㘲戰挱㌱㔸㌱㤷㕢昶㡤攱扥㝤挳㝡ぢ㤰捡㤷㥦㐳〳㜷㤸攱戰㈴㍢捣㑡㈸摢敦㤰扣㑢昲ㅥ挹摦㐱〶昶て㌱捤㥢つ戲摥㐷搹摤㠹挲攱〴搶挱㜱㕦㌹㡡㥤㈸ㅦ挳敤慤㙣㍥㠹㘵㈲㕣㈱愶戰〰ㄱ戶㍥昰愰㤱㈲㙥㙣㈱戱〴ㄹ㙥ㄸ㥤㜱攰ㄶ昳㌹慣〷攰㠲〵搹㘸㠵㙣㍡㌴㐲㥢户㍦㘴㥤ㅦ㠱㠴㤸㌷捥ㅡ敤㝦㤰昵㌱㔹㕢ㅡㄶ〱〲慤摦ち慣晦㥤㠵扡慤㘱㤹㡥戶㍥㐳㘵晤㥡收㘵㍢ㄶ㍡㕤㤲摣㈳㘹㍥搶㤷㘰昷㙤㥡㍦㜷㥡慣〸㠵戶搱昰㕡戰昱㐱晡扥㝤ㄳ晥户昹挲㝣ㅦ敦㙢㠸搵㈸㘰㘵㔷昸ㅦ㤶〰㤰敦昶攴㘲㔷㔰戶㉦愰戶㜷捡搴㉦㌰㜶愳愱㈴戱晢づ愶㜰戰敦㠰㌲晥慡慣晦愰散挶㈹㥡㜵㤰晦㠱搹戱㠸ぢ捦㌴㙥㑡愵ぢ㔸ㅥ挰〵㘰㈴㠹㑢㔰挴改㝢て㡡㜳㕥㈴㡣㈰搷㈷㠲扢㕦ㄸ搲戳㐸㔱㡣愶昳㤹㝣ㅥ搷㈸戸捦㘱晤攰㐱㜱㍤㠳摢㤱ㄸ戴㤱捤ㄸ捦攳㐴愸㠰㙢㈰㥣ㅡ㘱㠵〷㜳愹ㄳ戱㝥昴愰㜹㉣挳攲㡡〵ぢ㐵戸㝦ㄳ㡢攴㜳㔸㌳㑡㈰ㄹ〱搳㌵昶㤶㐸㈶ㄴ搶㡤戶㝦㠲㡥㕤㠵晢っ戶㈲愹〶〹㐵㡣㌰攸㤴㈹㙡㠴㠴扡㑡㥥つ挵㔴㜸㌹搸扦晥挶㜷攱㌹㠰挸㠱㈰㜵㈱㘶挳攳㉦昸㘰㘷㤶扣〸〷㔳㘱㈵㘱㝣换扦㝤ㅢ㠸捡㐰㈲ㄱ摣〰㐲㉦㠲㍢㤱换〸㝥㠴ち扤ぢ㑦㉦㠲ㅦ㠰摢昳挲㜳㘷㈸㐹〴㌷㠶㈹㐴㜰っ捡昸慢戲㌶㐱搹㡤㘰っ挳㘴〱戹ㄹづ挲㠱㤴㑤っ愶㤱〸㤶攰㜰㉡㠴戳愶㔸戸㘰晤挲㠳㘲㐱㌵㤱挶㔸㥢捣ㄷ㘲㌸て捡㘴㤹㌳㥡㑢㐷㔳㌸晥挲㠵㔴搴摡搴㠳㘲〴㜷昲㤹㌰搶㔹㔳㔸㕢挵〱㡡ㅣ〵慣㤸挷㤰㙦㡡扢㕢昹㤸戵㤹〷挵慡㔰ㅣ㤷㐹㜱〷㉢㑤㔸㐰㠸攳昸㐵敡㔰㈲㠳㉢㔶㕣慢㈶㔲愱戱扡搱昶收搰戱㠷㤲っ㈳ㄹづㄲ㘲㈲㍥㝢㘴敦㠰攳愹晣搶㜳㠳ㄱ㤶㉡㠹㈱挵愴㝢㠹攰㕦晣ㄱ摣㡥㤶户〷愹ぢ㌵ㅡ敤愰〹㤷昹昸昸挳㍤㙥㉡㐸〴昹㌳〵㌶㝦昴㐰㑤㠶㐴㈲㤸㠴搰㡢攰㔴㜲ㄹ挱㈷晣ㄱ㍣㡥㔶㤸㠳昷㔸㘰〴㜷㠵㔸㈲戸㈳㑣㈱㠲扢愱㑣つ㙢㈷㤴摤〸收㔲㐵㑣㠴㠵㈲づ㠲㘲㍣㥡捥㘱㤱〶㘷㌸捣㥥㜲㤰㔷㤵㠸㕡㍢㝢㔰愴攸㌹㔸㉥㐸㐴㤱㈹ㅣ㐷㍡〰㘶㔱㑣搰㈹〷挳㈷づ挹㐸搶ㅡ攳㐱㡢㍣改挹㘳㠱㈸㠷㐴て㕣戰㈰㘵愰㄰挶戹㔶㌶っㅤ慣っ㔸㘳㍤㈸㡥扦扣㠳㡣慤〲㑥㠷㌱攱㠶㤱散㤵〸攳挶㌳ㅡ㤴挱敡㙣㉥㌴㑤㌷摡ㅥ〷ㅤ扢㠱㘴㍣挹〴㤰搰㜴㈳㕣㠱㡤昲ㅣ扣ㄹ㐶㈸㑡挴扢㌶愸慥㘶㔳㠱づ扤搳ㅦ挱㘹〴㑤〷愹ぢ捤㌱摡㐱ㄱ㘴收㍦晥㜰慦㤹ちㄲ挱〷㔹㝣〰㐴㐹收㍥㑢ぢ㔸ㄱ㌹晣㌲㜳㕦㈲㜸㠳㍦㠲㕣㤵㤵〸㕥ㄷㄸ挱㍤愰㈴ㄱ摣ぢ愶㄰挱㍤㜵扤搶摥㈸扢ㄱ㉣㍡戹㈴挶㐰愴搲㘰搶挲㠱㠵晣㐸㈴慦攲㌴㌴㕣㐰づ㕤㈴㙤敤攳㐱㘳戸㌲㡣ㄷぢ捣扦挱愲っ搳慡戰㈶㕥㜰㄰㝤捣㝦㤱愸㘳敤敢㐱愳㔸㤴㡢挷㜱搸㌹ㄹ愴ㅢ㘰㕦挰搲ㄲ㤶㕥㜱㙣攱㌲挹㐱ㄶ攵㉦㍤㈸敥㙢㘱㈵ㅤ㍢ぢ捥摣攲戹㘸㉡㤷㜳㘲㔸㡤捤ㄷ戱捣㡢ぢ愸㔴㘸㉦摤㘸扢〹㍡昶㝥㈴㔹㤲ㅣ㐸㘸㙦㈳っ㕡㠰摤挷〸〹㜵㤵㍣ㅢ㡡てㄲ㐸〴捦昷㐷戰㠵挸㔶㤰扡搰㝥㐶㍢㈸㠲㝣挶〰㝦㐸㄰愷㠲㐴㤰㍦ㄴ㘱㍦〶ㄲ捡㐱㈲㙥㍦〸挲㠱昵㌵㐵㤴㜷慡晣㝥㌴㕦摡昴㈸扣㑥〸㉦昹㜷ち㜸戵㌶㝥摡戳㙢搹㉥㙤㕤ㅤ㝣愶戱慡て㕥慤敤扥㤰扡㙦昵㡥㙢㘷㡢㌷㠵昹ㄲ㈹㝥㙢㑥㐶慦晦㉦散㜰㥦散扥㤳㑢㡢㥢攳㙢㉦㐵㠷㙢ㄶ愳扢㠱慦㉢㜲ㄳ捣攷攲㥤攲捥攸㠹ㄳ㔲愳㜷㔹㥡㜷㕡昸㙡㈸㘴㤱㘳㠶慣㕡扦㜵㙡㈷㌶昱㤳愶昳摡挷换ぢ㡢㤸㜰扥㡥㐹㌴ㅦ搵㍡㜹㐹㜳〱㝥ㄸ搹捤㌱㙦〳㌳㙡㌳㍢㍣扤㠱摤㈸扣戰㝥晤敥㤲敦㠵摥㥢㜴㜳昱〲㌸㌸摣㈹ㄸ㡢㥤㜸〸戲㙦㜵ㅦㄵ昸ㅢㅡ㡤敤慤昸㤹攷搱㐸㡤㌷〶㜶㘹㕢搲㑡ㄷ㙣ㄲ昰㐲昳〹捤㕤昲㠳〰扦㠰㕣搹ぢ攱ㅥ敢㄰㌸㙡挳戲㔷㝣て摤㜲攸㠸㠹㈳㈲㠹㥡攳ㄱ㥢㌵愸戶㌴ㄶ㙣〴㍦㜵昶㘱愸㐳戵愰㌶〶㐴搹㡢㔸敦ㄱ攰昵ㅢ㌳㘲晣㕣搶㜳㌴敡㈹㝦㌳㤰愴㐸攸敥昱〵攵㜴㔶㐷㝢换搴㐲捦㕡㘰て戵ㅣ挵㕡㕡扤㕡㥡㔹换㌱扡㤶㌹愸㐵ㅤ㡥㕡㔸ㄳ㐶㑢挰㡦㈳扣捤㠳敦㑦昸〹ㅡ㍥㥢昰㘵ㅡ捥㥤扥捥㍥㠹昰㜶㠰㘸〱晦攱㙤㥦扡㐰㜳敡㐰㕤㈰㔸㜵愰㐰搷㘱扢慡㝥㈹ち摣愷昸昵㝤昸㑡㈷昹㌴戸晦搵敡晦㐳晡晦昵ㅡ敡㤷ㄹ捤㝤搵戰㜳挶搷扣㝤㘴昹㑦㍦戹㥡ㄹ㔷攳愸昱晡晦㐹つ敡〸㘸㡥㠴搴㝥㡢攴㙤ㄲ㡥っ慡ぢ㡤㝡つ扦挲晡晥ㄳ㥦㉦昸愱昱攱㐹昷㑣ㅡ㌹㙡㡦晢攳捤慡㔳ぢㅥ㕦㤹㔸㜰摤扦㠷㑣戹晥愲挶㐳㜶㍢晥敦㑦㠷㡥㠱㈵ㄹ㐱捥㐰晦〷搶慢ㄳ㔰收㈸愲づ㠴〶て㕤㐶搹㍥㡢捥㌹ㄵ㙣㌷挰㈷㘲换㍡㐷晢㜲昲㠸㐸㕡戵〲㐹挷戹扥㍣㡦昰搳㍣昸㐹㠴晦ち扣つ挶っ昷扦㤴㐰敦㠶㘹搵っ㑤攳捦㍡晢㐲㙡㥦敥㘹㥦㑣敤㡢㜵㘵㔳㔹㤹愳㉢㠳〰㠱扢㤴昰㌳㍣昸㈹㠴㕦慥攱㔳〸捦㙡戸扢㕢㕣㐹昸㤹〰㜹㜱㍥㑢ㄷ㈴捥㘷敢㠲挴昹ㅣㄴ㑣扢敡㉦㐴㘱敤攲㝣㤱搱慣ㄴ㘷昷〵㜹ㄷ㡤㌳㉦捡㡢挹攷昶㜱敡㜲㘸〶挵㜹ㅦ㜴㈹㌰捥㝢㙢挱敢ㄷ扦㍦㘸敥挲昱ㄳ慥㝢晢挰㑤㍦摦㜱捡㑤愱攵戰㈴㜱扥ㄶ晤㐷㥣慦㐵㔹攲扣㈷㌴扣㌸㕦㑦攷摣〴㤱ㅢ攷敢戰㘵摤〸㥥㠵〳㜹晡㠸愴㥡慦㕤改㠶昹㘶愲㙦昶搰搷ㄳ㝤慢㐶捦〴㝡戶㐶㠳㡦㌸晤㠶攸㕢㍣昴つ㐴摦愶搱㌳㠰㥥慥搱㙥㤸敥㈰晡㔶て㝤㈳搱扦〳て㐳㔹改扢㤸摣㥤㈸愹愶㐲摤挴慡捥扥㥢敡㍣搷昲愲晣ㅢ㕤㤰㈸晦㔶ㄷ㈴捡户愱㘰㌴敢敦㐶㘱敤愲㝣㡦搱慣ㄴ㘵㜸愱慡敡㠱㌹つ昲㝦搵㥥敥晦て攴ㅡ搴㝤搰っ㡡㜲㈳扡ㄴㄸ攵㠹㕡㜰搸攴㙤扦㍥㜰攷ㅢ㜷㍤昳挶挵㝤㙦㥢昴攷㜷㐳て挱㤲㐴昹㍥昴ㅦ㔱晥ㄳ捡ㄲ攵昱搰昰愲晣〰㥤昳ㄴ㐴㙥㤴ㅦ挳㤶昵㄰㜸ㅣ慥㌱㤰愶搴ㄸ愰改㌸㌷ㄴ㡦㄰晥戴〷㝦㥣昰㍦㘹㌸〶搲㤴捡㘸戸扢㔷㍣㑥昸㌳ㅥ晣〹挲㥦〴慦挲㈴㤴㔲〹愸ㅢ晦搷搹㑦㔳晤㔹㑦晤㐹慡㍦慢㙢挳㕣㤲㔲ㄱ㕤ㅢ〴搸慢晥っ㔱晤㉢〴愱戸收㐳昰慢㐶戳搷愰㔵㤵つ挱㔵㡤つ敡㑤㘸〶〵㙤㍢㌴㉦㌰㘸愳戴攰挰搷昷㙤ち㥦㌳愸攱戶ㄷ㑥慤搹户昱㤹收搰㍢戰㈴㐱晢㉢晡㠲愰扤㡦戲〴㙤ㅢ㘸㜸㐱㝢㠵㝥昹ㄸ㈲㌷㘸ㅦ㘰换㝡つ㍣㡣愹㈵敦㈵㜲㡦㠷㤴ㅡ〹攵㙥慦晥㡤摡㥦㜸摡ㅦ㔲晢㑤昰㜸㘰捦ㅥ㤱㔲挳㠰㘶挴摤㄰扥㑤昴愷ㅥ晡㈳愲摦搱攸戹㐰㙦慡搱攰㈳〴敦ㄱ晤㤹㠷晥〷搱敦㙢昴ㅣ愰㌷搲㘸㜷㙦晡㤰攸捦㠱㘱㜵㌴愰扥搰〵㌹㌲扦搴〵㌹㌲扦㐲挱昴愱晥ㅢㄴ搶㉥挸摦ㅡ捤摥㠳摣搸㠰搶攰㌳戵㐱晥慢㥡搱愰㝥㠴㘶㔰㤰搷㐳摢〳㠳扣慥ㄶ㙣晡敤㍤㐷ㅣ户㈰㍤昳愸㡢挶㕦㝤挱ㄷ㕢慣ㄷ慡慥搱㐱晥っ晤㐷㤰㉤㤴㈵挸敢㐰挳ぢ昲ㄷ㜴㑥㝦㠸摣㈰昷挳㤶昵ㄵ㜸㍣㌲㘷㡣㠸挴搵㐰愰扢㡦捣㝦ㄱ㍥挰㠳搷ㄲ晥㍦攰つ〹ㅥ㈴愱㙦㐳摦㜸戴捥晥㠶晡〳㍤㝤㍥㉢㘱㝤愷慢㥢捥敡㙡㜴㜵敥㙥昱㍤攱㠳㍣㜸ㅤ攱㍦㙡昸㑣挲㤵㠶挳㙢搸㉦慡昰ㄶ㐹挵㥢㍣㕥愴㤹㡤㘴㕡慦昸㑣〴ぢㄲ㘹㍥ㅢ㘱摡㔵㍦〴㠵戵㡢㌴㥦㤲㄰捤㕥㈳ㅤ㌴〶㙦〶捤㤱㘸㜶昹ㄹ搵昷晦慥㄰改晦㘸挱㘵晢つ搹㜸摡愵ㅤ攳㙦㝣㌹㔳㤳敦愸㑥㠴㠶挳㤲ㅣ捥ㄶ晡㡦㐸㙦㠹戲㐴晡㕢㘸㜸㤱慥愵㜳㐶㐱攴㐶㝡㉢㙣㔹㜵攰改㐸㐷搴搷㐰ㅢ㕦搵搹〳〸摦捥㠳㙦㑤昸㈰つ㠷敢㈳敡㑢つ㜷㕤ㅦ㈲㝣㝢て捥愷㈵慣挱攰㔵摡㌱㈲敡㔳攸㥢〰搴搹敢㔱㝦戴愷扦㉤昵㌷搰搵㘱挷㠸愸㡦㜴㜵敥㡥㌱㠴㜰慥㑤㜹㤱收攳ㄱ愶昵㡡㡦㐹㜸㤱收攳ㄲ愶愲晡㌴ち㙢ㄷ㘹㍥㌸戱㜶㤱ㅥぢ捤㤱〱㤱㝥て㕤ち㍣愶摦搵㠲㠱㈷㥤㍦㙡敥㕢敤ㄳ㑥敡慡扡敢慡㐶㜵㕡㘸〲㉣㐹愴㌷㐳晦ㄱ改㐹㈸㑢愴㔷㐲挳㡢昴㔰㍡㘷㌷㠸摣㐸㑦挶㤶㌵㕣晢㜲敥㠸㘸㐴扤愱㝤改㠶㙥〴攱搳㍣昸ㄴ挲户搴昰㌹㠴扦慡攱敥㜰扡㌵攱搳㍤㌸㥦慡戰戶搵昰搹㠴晦㐵挳摤㐸㙤㐷昸って扥㉢攱愳挱ぢ㥥㥣愱晥㍣搴㑤戸敡散㌰愰昵㝢㔰〹づ攴搷昷㔹㡤ぢㅥ㍥㉢戱敡愰㔵挵ㅢ㕣戳㝡搶慤ㅡ摢愰㝥〹捤㤱攰㤶ㅦ㥥㑦愳㜹㠱㐱㝢㑡ぢ晥㌹㘲捦㐱㉢慥㝣㘹收摤昳愳㡦ㅦ㄰摥晡搹㔰づ㤶㈴㘸㐹昴〵㐱㉢愲㉣㐱㝢〲ㅡ㕥搰搲昴搳㘲㠸摣愰㉤挴㤶戵㈳㜸㍣㍣愷㡣㠸㐶搵愳㐰㥢ㅤ扣捥摥㤹昰ㄶて扥㠸昰戱攰〵㕥昰㐰晢㐱㘸㜷㝢戵㠱摡慤㥥㌶㥦慢戰㈶攸捡愶戲戲㝢㜵㘵敥ㅥ搲㐸㜸㥢〷摦㥦昰㐹ㅡ㍥㤹昰㝢㌴摣つ昹ㄴ㠸敡㤷ㄲ〴晦慤㜹捣昸㜴㐴慦㌱㜳摦搵昴敢㜱敥晦㜷㡣扢㝢戳攳㍦㥥㝤昷㝤攳搴ㄱ搰ㅣㄹ㄰戳㍢搰扣挰㤸摤慥〵ぢ㌷㜱㜲捦㑥㡤㑣㕥㜱㜱扦㡥ㅢ㥥ㅦ㜰慣㍡ㄶ㤶戸㉡㘰捦㘰搷戱㈱摦攳っ㜷愶收昲㠸〸㌱挵㕥攲㍢ぢ㕣㝢㌶挸挰㐱愱ㄳっ㜳づ换昵敡ㄴ㤴㈵攸户愰㑡〶㥤㑦〸搴攲㜵摡愷ㅡ挱捤㕡㌰㠸〲敤戵㙦㝥㔲愷ㄹ昹㑤㕡捥㌷捦晢攴愷ㅢ昹㡤㕡扥㐹愹晣㑣挸摤㕤敡っ㙣㔹㝢愰㌹昵㘳㠶㑦㥣㌵㜴晢愱晡㌷㤷搲㌵搷㐱戵户㐵ㄹ扣㈰摤扦ㄶ㐴㕦㜴㉦㤰昱㜲㥤㥦㍡㝢㉦搸㔶捣捣愷㍤戲ㄴㄳ攳㐷㘲挳㍤㠸扡㝦昶㜹㌹〰㠱〱戹㑡ぢ攲㔳户㍣昱挲攳㑦㙣扣㙡昸戹㝢摣晢攳〷㝢㠴㉥㠴㈵㜱昲㝥慥㍦㤹て㉦晥扣〲ㅡ摥㐱㤴㘳ぢ慥㠲挸敤㌱㤳攴慤〲㜸㍣㠸㜰攱㄰㔶㤷〰㙤㈶㠶㍡扢㐸昸㜲て㝥㌹攱㡢㌴ㅣ㤷㈵㘱㜵㠱㠶扢㈳摦晥㠴㕦敤挱㤹㉣㙦戵㠰ㄷ㍣㤴㐱晤㕣愸㜷ㅦ㜴㙤㔴晦戵愷㝥㈵搵て搰戵攱㍡㈳慣捥搴戵戹〷㕤〷㐴昵户ㄲ〴〷慥昹㔱戴挲㘸昶㝡㘲㘲㑥㍤扤ㄳ㤴㜹つ㡡〹昱㈳扤愰扤捤慤㤵㈰敡ㄴ㌴㉦㌰㘸㈷㙢挱户㠳捦晥收㠲扤敦㥣㜶㑤搵㔷㌷扤㌶晥攸㔴攸㙥㔸㤲愰㉤㐵㕦㜰㄰㌰〵㕥㠲㜶㈲㌴扣愰ㅤ㐲扦㍣〸㤱ㅢ㌴收挵㕢㠷㠱㔷攱挲㍢愵㡥㠵㜶户㕢㡦愰晡㐳㥥晡㝤㔴㍦ち㍣㕥㘸捣挰挵挰㤱㐰㜷㡦㥢挷㄰晤戰㠷㘶扡扣㜵㥣㐶捦〴晡㔰㡤㜶㘳㜰〲搱㡦㜸攸〷㠸㍥㐹愳愷〳㝤戰㐶扢攳摥㈹㤰搴㍦㑢っ摣戵收ㄱ㝢捥㘸昶ㅡ㌱㉦㔲扥换㜹㈶挰㡦㘴㥣捡ㄶ攷㍡搰扣挰㠸ㅤ愸〵㡥㌵昲昵㐹晦摥㘷昲晤㉢ㅥ摤㙡昷㐱㉢慥〹扤〲㑢ㄲ戱戳搰ㄷ㐴㡣搹敤ㄲ戱㜶㘸㜸ㄱ㍢㠷㙥㔹〹㤱ㅢ㌱愶扣㕢攷㠱㔷攱㘴て㤳晡㘲愸㜷㠷散㔷搴㝦挷搳㝦㤳晡ㄷ㠲攷㥥㡡〲扥㄰昰敥㤸㕤㑣㌸ㄳ捤摤敡㤸ぢ㙦㕤慡攱㌳㜹挶㤱搷㜰㌷㘸㤷ㄳ晥㥥〷㝦㥢昰㉢㌵㝣㍡攱㑤ㅡ敥㐶㙤㌹攱扣挵挲ち㘹㐱扤慦ぢ㜲㜹昸㠱㉥㄰慣㍥㐴挱㜴愳晥㌳ㄴ搶㉥搲㥦ㅢ捤㌵㡥㌴㜳攲㐷〶㐴㝡㉦㜴㈹㌰搲㝢㙡挱昴户挳昷散㜷挱搴〹户づ㥦扣㝥㜸昹㤷㔷㠶扥㠱㈵㠹昴昵攸㍦㈲捤㉣㜸㠹昴敥搰昰㈲㝤㈳㥤愳搰㑢搷昵㑣㡤户㙥〶㡦〷搷㥣ㄱㄹ㌵㔷扢搲ㅤ㈰㙦㈵扡摡㐳晦㐸昴㙦㌴㝡㉥搰㌳㌵摡㡤搳㙤㐴昷昱搰㑣㤰户敥〰㉦㜸㝤㈱愳㜶㠳戶㜱㝥㥤晤㍢㙡昷昵戴ㄹ〹敢㙥㕤搷㙣搴㌵㔹搷攵〶昹昷㤰搴て㈲〶捥攳搷昷㔹㡤搳挸㝡愳搹㙢挰戰㐸攳㥡搵搷昳㐷敤搶愰搶㠳收㐸㜰换て捤〹㘸㕥㘰挰挶㙢挱挸㜱㌷㕣晤攳㠵ぢㅢ㙥㍦晡散搳户㍡㘴搹〳愱㈱戰㈴〱㝢〰㝤㐱挰㝥㠱戲〴㙣ㅣ㌴扣㠰㍤㐴户っ㠳挸つ搸愶搸戲ㅥ〱㡦㠷ㄶ㈶㤹㠸摡㐹晢挵㡤挱㥦〸ㅦ敥挱㌷㈳晣㜱つ挷㠴ㄹ㔱㈹つ㜷摤昸㈴攱㕢㜸昰捤〹㝦ㅡ扣ち㌳㘰㐴挵愰摥ㅤ戳㘷愹㍥挲㔳ㅦ㑡昵㍦敢摡㌰摦㐶搴づ扡㌶㜷㜷㝡〱愲晡搱〴挱㠱晣晡㍥慢ㄱ戴ㅤ㡣㘶敦㐱搳挱㌲攳㙡㐳㔳㠳㡡㐳㌳㈸㘸摢愲㜹㠱㐱摢㐶ぢ㙥㍤晥愸挷敦㌸㜴搶慥㤷慤摢晡挶搷㍦㝥昷㐸㈸つ㑢ㄲ戴㔷搰ㄷ〴㙤㘷㤴㈵㘸㕢㐱挳ぢ摡㙢昴换㜸㠸摣愰㡤挱㤶昵㌷昰㉡㡤愷㔱戵〵搴扢晤晡㈶昵㈷㜸晡㘳愹晦㌶㜸㝡㍣㡤慡捤〱敦ㅥ㑦摦㈱㝣愲〷ㅦ㐷昸㝢ㅡ㡥昱㌴慡㌶搱㜰㜷ㅦ㜹㥦昰㐶て摥㐰昸㠷ㅡ㡥昱㌴慡㌶搴㜰㜷ㅦ昹〷攱捣㜶昷挶㔳㘶扤㥢摡ㄵ戳摦㔹㤰昱㜴ちち愶ㅢ昵㌳㔰挰摦㕡㐴㝡愶搱散㌵搲㈶挲晥㠵昰㜹搰っ㡡昴㘰㜴㈹㌰搲敢㘸㐱挷挱㥢㙦㜸摥㡢搳ㅡ捦㍤敢㡢㐳搴㕢㉦摥ㅥ摡〳㤶㈴搲㕦愰晦㠸昴㍥㈸㑢愴敢愱攱㐵晡㉢㍡㈷ぢ㤱ㅢ改㝤戱㘵晤㑢晢ㄲ㔷㔲㘱搵扦挴㤷晦㐳㜸捥㠳晦㤲昰㙦㌴ㅣ搷㘹㘱搵㑦挳摤㐸㝤㐷㜸摥㠳㌷ㄱ晥㍤㜸挱ㄷ㠵㘱搵〷摡挶晤㜵昶㡦搴㉥㜸摡晢㔱ㅢ愹㕤戲ㄷ攱ち㌴慣㝥晡ㅦ晦㕥㔴つ㤱㘲㠲㤷ㄷ㘷摥攸昶攲捣ㅣ㜹㉦捥㡢㔰㌰ㄵ搵户愱㠰扦戵㠸㜳扢搱慣ㄴ攷搲摢㔹て㡦㜳〷㡣㍦㡦㔳㕤搰っ㡡昳㜷攸㔲㘰㥣扦搵㠲㜷㜶㑡㜴昶扢㘴攱㤴㍦㉥㜸散㤰㍢㜷㥡昹㔲㘸㈹㉣㐹㥣㙢搱㝦挴昹㌰㤴㈵捥晦㠶㠶ㄷ㘷慣㐵攲㜱㙢㠸摣㌸ㅦ㡥㉤㙢㠰昶㈵㤶㔵㤳敡㥦㈵扥ㅣ㐴昸㌱ㅥ晣〸挲㐳ㅡ㡥搵慦愴晡㕣挳摤㐳㙣㌰攱挷㝡昰㈳〹㕦㑦挳戱㌶㤷㔴ㅦ㙢戸扢㕢㙣㐰昸㜱ㅥ晣㈸挲㠷㠰㔷㘱㜸㠱晥〷搰㌷昱挲㍢㤶㠱慤㍦㠳㕡㙢ㄵ戵㌳㡤㘶愵愸㐹㤴㠲㡥捥昳愰ㄹㄴ戵㜷搰扣挰愸慤搴㠲㌷㥡摥㍥散搴㔹戵㤳㔷㝣㌳昶挵〵㜶㉡ㅤ扡㄰㤶㈴㙡㐳搱ㄷ㐴敤㔲㤴㈵㙡㙦㐱挳㡢摡㜰㍡敡㉡㠸摣愸㕤㠶㉤㙢〴㜸ㄵ愶户愴㝡扤挴㑦㕢㔲㝤戹愷㝥㌹搵户〶㑦捦扤㐹昵㌲攰收㘸愹戳户㈵晣㙡て㝥〵攱摢㘹㌸收摥愴㝡㔱挳摤愰㡦㈶晣搷ㅥ晣㑡挲挳ㅡ㡥挹㌳愹㥥搳㜰㜷昲㡣㐲㔴㝦㉢㐱㙢ㄵ戴ㄵ㐶戳搷愰〵摤愶扡〳㥡㐱㐱㝢ㄲ捤ぢっ摡ㄳ㕡戰昰攵㜵㑦㘹㍥愸㘱晣戹扦㉦㝥扤捤愷晤ㄶ㠴敥㠶㈵〹㕡ㅡ㝤㐱搰晥㠸戲〴敤㌱㘸㜸㐱摢㤱㝥㜹㄰㈲㌷㘸昷㘲换摡ㄹ扣ち㐱㡢慡㠷愱摤扤㜳㡦愵晡㐳㥥晡㝤㔴㙦〰㑦〷㉤慡敥〷扣㍢㘸ㄳ〸㝦搸㠳摦㑦㜸愳㠶㈳㘸㔱昵〷つ㜷㠳㌶㠹昰㐷㍣昸〳㠴㑦搱㜰〴㉤慡敥搲㜰㌷㘸扢㐲㔴晦㉣㐱㙢ㄵ戴攷㡣收ㅡ〵敤㈸愴㜷扣〴捤愰愰摤㠶收〵〶敤户㕡昰摡㌶㥦慤扣改㠴㤵搳㑥搹愷㍥昶搴㕦㙦㝥㐵㌱㜷㥥ぢ㐴昶㉣㜶ㅤㅢ晣㠶㤸㐰㉦愱㥣つ慥㍤㠷㘴㉥挸挰㠱㑡㤲攸㠹㥦㠷㌲㍦戸扤㔳ㄵ晡㥢挱捦㈷㜴〱愱㠳㐲㙦ㄸ收敥㉣搷慢㤵㈸换晥㜰㍤ㅡ攳敤て㝢㐲愸摥㌱愲㙢戵挸㕤㙥挳㘵愴ㄱ㕣愳〵㘵换㙤敦ㄹ昹慦戵摣户摣㠶〴㜱挵摣㝡愹昳㙡㉤昷㉤户㔱晥㈱攴敥㡥挸慣㝢慢〹㡤愹ㄹ㌳〲㝢㠶扡ㄲち搷㘱挲㜵㈳㥤㘵㉢㤹ㄳ敦㠲㤹㜷㙦攵扢挱㤷㙡戰㍢㠰㍢〴㌳愷㥥晡㘴㈹收搶ㅢ㘳㡡〹敡摤挱敢㕥㘵扢〰㐶〲㠳昷㉢㉤戸昹慥捤昷扣攷挹愳㈷㕤㝤㘲攸敢搶〱㝢摣ㄹ㘲㜲扢㠴㘹㌱㙡㠴㠷㤹愱㉥扤㍤てㅡ㥥㠷㕢搹㥣㥦㈰㜲摢捥戴㜵慢ㅤ㍣ㅥ㌲挸捤挹愸戳㠰㌶㜳㝦㥤㝤㈰攱っ慢ぢ晦㥥昰㑥昰〲捦㑡愰㝤ㅡ戴扢㡦捦㈵搴㔶㥥昶て搴㍥㔸㔷㠶㘴㥢㡣㍡㐹㔷收晡㜵ㄹ攱搵ㅥ晣㐷挲て搵㜰愴昲㘴搴㜱ㅡ敥㝡昶㜰㠸敡〷〰づ㥣㝣昱㥦昹慣挶㈵〶㜳搲㐵戳搲〱攷㥥㤰摣攳㉤㔱㝦㌲㥢㡢搵て㡥㔳㠳愱搹ㅤ戳户㔱愷扢挸㜶㈴㥡ㄷㄸ戳㈳戴愰收㤶㑤ㄶ捣戸昳㥦攳㙦晦收改㘷㈳㜳收捥て㙤〰㑢ㄲ戳㘳搱ㄷ挴㙣㘳㤴㈵㘶㠷㐱挳㡢搹昱昴ぢ㌳扤摤㈰㌰㔱摤㍡ㄱ扣ち攷〰㌸摢㕢ち昵敥㌰㥣㑣晤愱㥥晥㉦愸㝦㉡㜸㡣㌹慥ㄹ挲慡ぢ昰敥㘱昲㜴挲㠷㜹㜰㘶戰㕢㘷㙡昸っ挲て搰㜰㌷㙡㘷ㄳ㍥摣㠳㙦㐶昸戹ㅡ㡥㑢㡣戰㙡搱㜰㜷㔴㍤ㅦ愲晡敤〸㠲摦昸昵㝤㔶㈳㙡捣㐳敦㌵㙡㘲㉥攸㠴㈴ち捤愰愸㉤㐴昳〲愳㔶搴㠲挳㌷搹㜹敦㥤㡢扢㑦扢攵㤳㕦扣摣昵㐴攷㍤愱㈴㉣㐹搴㉥㐱㕦㄰戵ㅤ㔱㤶愸ㄵ愰攱㐵敤㌲晡㠵搹摤㙥搴㤸㥣㙥㕤攱昹〵愹㈹晢㤵昸攵㉡挲ㅢ㍣昸捥㠴㕦慤攱㌸㉦㑣愹㝤㌴摣摤昹慦㈱㝣扣〷㘷㤲扡㜵ㅤ㜸ㄵ昶〹攸敦〱晤敥㝤攲〶敡㑦昰昴挷㔲晦㈶㕤ㅤ㑥㜲㔳㙡㥥慥捥つ昲㉤㄰搵㑦㈳〸晥㕤昳愸㌱昷㝣敤愲㌶〷㥡㐱㔱㥢㠹收〵㐶㙤㠶ㄶ攴㉥㍥攱晣挷慢㑦㥣㝣戲搵㜴挵㘱昵昷㌶㠷ㄶ挰㤲㐴敤㜶昴〵㔱摢ぢ㘵㠹摡㌴㘸㜸㔱扢㤳㝥㘱㌶戶ㅢ㌵㈶愴㕢㜷㘹扦攰㙣㍥愱愶㘸扦戸㝢昳㍤㠴敦攷挱昷㈱晣て攰㔵ち㐳㐲㌵㐲扦㍢っ昷㔲㍦敢改㌳㔳摤扡㕦㔷㠷㌰㈴㔴㠳慥捥つ挳㠳㠴攷㍣昸㉦〹㝦㔸挳戱㤳㈴搴捥ㅡ敥敥㈴㡦㐲㔴摦㐲搰㕡㐵㡤昹收㙢ㄷ戵づ㘸〶㐵㉤㠵收〵㐶㉤愹〵捦捤㝢㜲晥昳㔵㑦敤㜶搲㘶㥦敥晢摣㤳㐷㍦㔹㜳㄰㉣〵摥摥㤲摦㑢ㅦ㉤扦㙡捥㔷捣㍢㥤挲攰㡣㕦㔳㘴㝡㜶晦愲换㘶㜶戹晣㝣㜶ぢ㕥挹搵摥㌱愰㌸㍤摢戱搸改㤸搶摣收㜴づ㈸捥㙤㙥搵慦ㄷ㙦ㅣ㔸攴捦㡢㈲挱晤㈰晣攰㜶㠷㉤㈵㉡㕢挵㤹ㅤ㘰昴㉢㑥敤挴㡦㐴ㄷ㙡㕢㘷㘵扢扡㥣㡥戶㥦挳㝢搷昰㡥晦扥摣ㄱ㤱㠷摦〷扦㡤㔳ㅤ昸㝡㝤扥㌷㍦㌰㥤摡㜵㘱户㍦捣て〵㔷㔷搷慡敡戵㝢敢㥡昵ㄴ㜶㌹晦㉦㐳ㄴ昰攲戳㡥收摣㤲慥收昶戶扥㉡㡥㌰扢㡦㘴ㅤ㔵㈵㜷ㄹ昹捣愱晤っ㜴慣㘷㐱晡㈰㜱㕤捥㌹㐱敡散攷挰㤱㕦敦㜱㝦㍡愸㘶㈹㜶㠵昲づ昲㐷て㈶搱〳㌵〷㌷ㄷ扡ㄶ㔹㡢㥣收㠵㡢昰戶㤹晥晤捤㡦ㄲ搰㌹㝤て㠳㙡㙦ㄹ昰㍣扡晡戵㌶㘵㍢㍡戲换㙡㕢㥢㕡㥣戶㠵㕤㡢㙡㥢づ㐲捡㍦摡つ攵摡摡㕡晢㜹戴挷㜵㌶づ挲愳挰愴㔵晢〵捤愵㐴㌱㡢㕣戸㉦晡戹㑣ㄶㄷ敥㑢㝥敥ㄹ攰㜲敦戶晥〲㙥㘵㤷㙤ㅢ攸戲㤷愱㘳扤〲㔲敡戲㔷挱昱戹㑣㌱ㄳ㥢㙥㌳ㅦ挵㕣㙢㘹捡敢㐰戲挹搲散ぢつ昷㙦㥡㑢扣扡搴㜰摦昰㘳慦㌴摣㌷晤㕣收〹㑢㘷摥〲户㜲㘷㠶〶㜶㘶㈵㜴慣㜷㐰㑡㍢昳㉥㌸晥捥㌰摤戸愴㌳㌷㥢愶晣ㅤ㐸慦㌳捣ㅣ㤶㉥扥敦攷㌲㐳㔸戸ㅦ昸戹㜷ㅢ敥㠷㥡㉢ㅤ扦て㕣改捣㐷攰㔶敥捣〶㠱㥤昹ㄸ㍡搶㈷㈰愵㥤昹ㄴㅣ㝦㘷ㅥ㐰ㅤ㈵㥤㘱摥慣㌴昰㜳㈰扤捥㌰㍤㔶戸㕦昸戹㑦ㅢ敥㤷㥡㉢捤㘶㜲慢㘰扦昲㘳晦ち慥㜴收㥦攰㔶敥捣㠰挰捥㝣つㅤ敢㝦㐰㑡㍢昳㙦㜰晣㥤㜹〵㜵㤴㜴收㙦愶㈹摦〲挹捥㐸〳摦㌶摣敦㌴㔷㜶㍥㈶㠴㑡戳晦攳攷㌲昱㔳戸摦晢戹㑣㠷㤴捥晣〰㙥攵捥㔴〷㜶收㈷攸㔸㝣㝡戹戴㌳ちㅣ㝦㘷㤸㔵㔹搲ㄹ收㑤㑡㔳晡〰改㐵收ㅢ挳敤慢戹搲挵敦つ户挶㡦慤挲敡慣㔸戰晣㕣ぢ㕣改㑣㍦㜰㉢㜷收㥢慦㠳挶㑣ㅢ㍡ㄶ㥥㜳㉦敢㑣㝦㜰晣㥤愹㐵ㅤ㈵㥤ㄹ㘰㥡㌲㄰㐸慦㌳㈱挳ㅤ攴攷㌲慦㑦㥡㕤慦戹搲挵㈱㠶ㅢ昲㘳㌷〳㔷㍡戳づ戸㤵㍢昳㔹㘰㘷搶㠵㡥戵ㅥ㐸㘹㘴搶〷挷摦㤹愱愸愳愴㌳㈳㑣㔳㌶〴搲敢捣搶㠶㍢挴捦摤捥㜰㌷昲㜳挳㠶扢戱收㑡ㄷ㤹散㈵㥤搹〴摣捡㥤㜹㉦戰㌳㥢㐲挷摡っ愴戴㌳㥢㠳攳敦㑣ㅡ㜵㤴㜴㘶㘷搳㤴㘱㐰㝡㥤㘹㌰摣攱㥡㉢つ㙣㌴摣㉤晣搸㈹㠶㍢挲挷つ㌱ぢ㡡愷㠳昶㐸㜰〷昶〹㌱晦㐹捥㠳户㘴戹㕥捤㐲㔹捥㠳㕦㐵㜷㜸ㅥ扣〱挰戵ち捦㤲ㅡ挱㉢㕡戰㈱〵戵㜸㘰攸㈷㌵〷㌲昱搰㌶㌰㔲㡦攷搸㥣㝣戶戳㙢攸㐱晣晤㥥捥㙡昵㔷攳㤹㡦愳ㅢ㜵捦昳愳㠰戵戶〳改㠳愴㈴挵㉥捡㍣扦㍤㌸㝥捦散〵摢戲摢敤〰㠱愰〸摣捦搴ㄸ〶户㜲㑣㥥㌳㌵㔷昹捦㌰愲搰戱㘲㈰愵㌱㠹㠳攳慦㌹㠷㍡㑡㘲㔲㌴㑤㐹〲改挵㘴㝦挳㑤昹戹㑣ㄱ㤲㘶愷㌵㔷晡搷㘱戸ㄹ㍦㜶㈹戸攲扥ㅤ挱慤摣㤹㐷〳㍢戳㌳㜴慣㌱㈰愵㥤ㄹぢ㡥扦㌳㠷愰㡥㤲捥ㅣ㘱㥡搲〰愴攷搷㘳っ㜷扣收㔲愲㑥㌰摣〹㝥敥㈹㠶㍢搱捦㍤ぢ㕣改㑣㈳戸㤵㍢昳㠷挰捥㑣㠲㡥㌵ㄹ愴戴㌳㔳挰昱㜷收ㅣ搴㔱搲ㄹ愶愱㠸户㜷〵搲敢捣挵㠶扢㥢收㑡㘷㉥㌷摣㘹㝥敥㜲挳㥤敥攷㕥て慥㜴㘶〶戸㤵㍢昳摢挰捥捣㠲㡥㌵ㅢ愴戴㌳㜳挰昱㜷收㐶搴㔱搲ㄹ收㕥㐸㘷收〱挹㈶㑢戳㙦㌳摣昹㝥㉥㜳㈷〴扢㐰㜳㘵㌷晢扤攱敥敥挷㍥〰慥㜴㘶て㜰㉢㜷收扡挰捥散〵ㅤ㙢㙦㤰搲捥散〳㡥扦㌳て愱㡥㤲捥晣挹㌴攵㤷㐰㝡㥤㜹搲㜰㥢晣㕣㈶ㄵ㐸㘷昶搳㕣改捣ぢ㠶㥢昵㘳㕦〱㔷㍡㤳〳户㜲㘷㉥ぢ散㑣〱㍡㤶〳㔲摡㤹㈲㌸晥捥扣㠶㍡㑡㍡昳愶㘹捡㈲㈰搹ㄹ㘹攰㍢㠶摢慣戹ㄲ慦昷つ㜷㝦㍦昷ㅦ㠶扢搸捦晤〲㕣改㑣ぢ戸㤵㍢㜳㙥㘰㘷摡愰㘳戵㠳㤴㜶收〰㜰晣㥤昹ち㜵㤴㜴㠶㜷愴挵摢ㅤ㐰㝡㤱昹捥㜰㍢晤摣ㅦつ户㑢㜳愵攳扣㙦㉣ㄶ㤶昸戱扣㥢㉡㥤㌹〸摣捡㥤㌹㌹戰㌳㑢愱㘳㉤〳㈹敤捣㈱攰昸㍢挳㥢戲㈵㥤攱㙤㔷㘹捡㘱㐰㝡㥤ㄹ㙣戸㠷晢戹扣㠹㉡搸㈳晣㕣摥ㅡㄵ敥㤱㥡㉢㕤攴㑤㐶改捣㔱攰㔶敥捣㤱㠱㥤㌹〶㍡搶戱㈰愵㥤㌹づㅣ㝦㘷㜸慦戲愴㌳扣晢㈸㑤㌹〱㐸㙦㌷攳㑤㐶攱㥥愸戹戲㥢昱㕥愲㜰㑦昲㜳愳㠶㝢戲㥦换㥢㙦搲㤹㔳挰慤摣㤹㈵㠱㥤㌹つ㍡搶改㈰愵㥤㌹〳ㅣ㝦㘷㜸て慦愴㌳扣㉢㈷つ㍣ぢ㐸慦㌳扣昹㈶摣戳㌵㔷㍡挳㝢㙣挲㍤挷捦攵慤㌴攱㥥敢攳㠶㜸㔳㑡㑥㘴捥〳㜷㘰ㅦ㌵ㅢ㘵㌹㜱㔹㡣收昳挴㘵ㅤ〴戰ㄶ㡦挶捦㌱㠲晤戵㘰㙢ち㤰慦㍤搷〸㥡戵㘰ㅢ〸散ぢ㘱㉥挴㍢㔸㍣㉢ㅡㄸ㔲昳つ㙡愱㐶㤹ㄳ㈲摥捡㤲ち㡢㕡攰㍢㈱摡ㅤ㌲昱昴㈵戰搶昳㠴愸〰つ㔹昸㈸㌹㈱扡っ㔸㥢昷㝣扡㑦㠶慥㈰㡢㍦㔹㉣愴㑡敤〹扢昴敥扣㡢㝥摦昰㐳㙣摦昱㡡㌷㥦挴㌷㔷〱㐹ㅦ㡡ㅦㅤ挳㕤敥攷㉥㌶㡤扡ㅡ摣捡攱摦挷㌴慥攴㥣改ㅡ攸㔸搷㠲㤴㠶晦㍡㜰晣つ㙣搵つ㐴㑢攴愳づ㌴㑤戹〱㐸慦㠱㑢っ昷㐶捤㈵㔸㉤㌳摣㥢晣搸挳つ昷㘶㍦㤷户㐸挴挳户㠰㕢戹㌳㜳〲㍢戳〲㍡搶㙦㐰㑡㍢昳㕢㜰晣㥤㌹ㅥ㜵㤴散换扣㜵㈲摥扥ㅤ㐸㜶㠶ㅦ㜵扡攱摥愱戹ㄲ㠳戳つ昷㑥㍦昷㝣挳晤㥤㥦换㍢〷搲㤹扢挰慤摣㤹㈹㠱㥤戹〷㍡搶敦㐱㑡㍢昳〷㜰晣㥤戹っ㜵㤴㜴㠶户ㄸ愴㌳昷〲改㐵收ㅡ挳扤捦捦攵晤〱挱摥慦戹搲昱㕢っ昷〱㍦㤶ぢ敡搲㤹〷挱慤摣㤹戱㠱㥤㜹ㄸ㍡搶㈳㈰愵㥤㜹ㄴㅣ㝦㘷敥㐴ㅤ㈵㥤戹挷㌴攵㌱㈰扤捥摣㙢戸㡦㙢慥㌴㥢换收搲㤹㈷晣搸㐷つ昷㐹ㅦ户收ㄹ㜰㔷㝢戵㤴昷挷搷昲愷ㅥ㥥㐲愵㡡㑢㥣戴㘱㍦敤㙢㐲晤昳㥡㡢㈹ㄸ㘳挹ぢ愶挴㐵捡㝡㉥㉣㔲愳㔶㑡㕣㔰昴㑡㡡㡢㠲㙣扥晤っ㙤扦慡㘵昶戳㝥摢㕣昷昳㌴敡戹摥㈷㈵愹改つ㔳ㄲ摢㕣摦昳㤰㡡㙢㜴㘲晢㌹摡收搲ㅣ㘵昶㥦晤戶晦敥搷愸攷昲㥢愷㕦捦㘵户敥ㄲ㤷摢愴挴㝡ㄵ㤷捣挴昶昳戴晤愹㤶搹㉦昸㙤㜳㔵慣㕢㥦慢㘱摤愵㉦㑤㐹㝡昱㤵㈹戱ㄷ敡㙢㤴挴昶㡢戴捤㠵㉢敡搹㉦昹㙤㝦㙢㌴㐴㥦㡢㔳摤戶戹㈸搵㕤攲㘲㤴㔷㔲㕣㔰ㄲ摢㝦愱㙤㐵㐲摢㝦昵摢敥愳戹㙥扣晡㥡㤲搴㔴㘳㑡攲㙦换㕦㔲㌶㑡㘲晢㘵戲晢㙢㤹晤ち㌶捣捥㕥㍦㔰㜳㕤摢㠳㑡㑡昵愶㈴㌵㠵㑣㐹㝣戲㉥㑡㘲晢㔵戲搷搷㌲晢㌵㙣㜸戶㌷搴㕣搷昶㤰㤲搲㐶㈵愵㡤㑤㠹㌵愹㑤㔱ㄲ摢慦㤳扤戹㤶搹㝦挳㠶㘷㝢㤸收扡戶㠷㥢㤲戴㜴ぢ㔳ㄲ㥦㡣昰㤷搴㐸㤴㘴晥摤〲㈳〹㈷㝣收〸摡㙦㠲㕢戳㈵㐸昹㙦扤昸㝥㔵〷慦㉦敡挸收扢愶㜶㌹慤㍣愸散搶戹昸㕤㘱摥敥愸㙢攵ぢ㜲攴〱㈹慢㜵敥㈲晣敥昰㍡ㅡ㍢捡挳っ昶㌸ㅥ㜶㤰挷ㄲ㥤㡤㈶戶户ㅥ㤰敤挸收㕡ㅣ㐲㐶㜵ㅢ㕤扦㕣㈲㜸㥣挵昰㐴愶ち敦㌷挹㌷昳づ㠳㠳㍢㔸㙤ぢ昱昲㈱晣戹㜷㘵㑣〳昹ち愳㕡戵摡挰㕡㐵〵晢㉤戸㠳敥㔶摤㕢㔲㔴愳㈰㤰昰扣㡤つ戵㍤〹昱㉢戱㠱㤳っ昹搶敦愰戹㌲晣愸㈸㑡愲昱づ搹㜱㉤戳摦挵㠶ㄷ搰愴收扡〱㑤㤵㤴搲愶〴昳㔵昵ㄹ㔳㤲ㅤ㤱㉢ㄹ㘲晢㍤戲挷㙡㤹晤㜷㙣㜸戶ㅢ㌴搷ㅤっ挷㥢㤲散ㅥㄳ㑡㑡ㄳ晤㈵㌵〹㈵戱晤㍥搹㕣㑦㤰㥥㝥㠰つ捦昶慥㥡敢摡摥捤㤴挴昶戴㤲搲㜴㝦㐹捤㐲㐹㙣㝦㐸昶ㅣ㉤戳㍦挲㠶㘷㝢㥥收扡㍥㤹㕦㔲㕡㘰㑡攲㤳摤㑤㐹㝣戲ㄷ㑡㘲晢ㅦ㘴昳㙡㕢摡晤㌱㌶㍣摢扦搴㕣搷㜶㔳㐹㘹㍦㔳ㄲ摢㔹㔳ㄲ摢〵㤴挴昶㈷㘴ㄷ戵捣晥ㄴㅢ㥥敤㐵㥡敢晡愴搹㤴挴㈷晢㤷㤴ㄶ晢㑢㡡ㄷ愵㘲晢㌳戲て搰㌲晢㜳㙣㜸戶㍢㌴搷㙤㜷㘷㐹愹换㤴愴摤㑢㑣㐹摡扤ㄴ㈵戱晤〵搹㠷㘸㤹晤㈵㌶㍣摢扣っ愴愷㕣摢扣晣敢㉥ㅤ㔱㔲㍡搲㤴㔸㤳㍡〶㈵戱晤ㄵ搹挷㘹㤹晤㑦㙣㜸戶㑦搰㕣搷㈷扣ㅡ敢戶㝤㔲㐹改㘴㝦㐹㥤㠶㤲搸晥ㄷ搹㘷㘸㤹晤㌵㌶㍣摢㘷㘹慥㙢㥢ㄷ㐷摤戶捦㈹㈹㥤敢㉦愹昳㔰㤲挱戰捥㍦ㄸ晥ㅢ摣晡ぢ㐱〶愰㙦晤㥥慦㔶㔵㜷昵㜹㔷㍤㔲晤慥扡扡晡㡢慡ㄶ㤸㙥㔱㠳昰㙢㌸㐰㐸挳扥挱㠶扡㠲〴㜸晢㕢㙣戰ㅤ晣搶㕦愵戹慥㐳㤷晢㑢敡ㅡ㤴㐴晦㍢戲㜹㐹㈰晡晦挱㠶搷戱ㅢ㌴搷搵扦搱㤴㘰扡慡晥㈶㔳㤲摤敡㘶㝦㐹慤㐰㐹㙣㝦㑦㌶捦搰挵昶て搸昰㙣摦慥戹慥搳敥㌰㈵戱㜶㘷㐹㠹㘷摤搴㤷㔶愸㝢㔰ㄲ摢㍦㤲捤ㄳ㘶戱晤ㄳ㌶㍣摢昷㙡慥摢敥晢㑡㑡昷㥢㤲昴㠲㈷挱摤戶ㅦ㐶㐹㙣昳㑤挳敡㔱㉤戳ㄵ㑡㥥㙤㥥慢㝡ㅡ昵㡦㥢㤲㔸㝢挲㤴愴ㄷ㑦晡㑢敡㈹㕤戲慢㘱捤㝣㐲㑦㠳㉢㉢昹㝤挰戵晢㠲っㅣ愴㥥㌱搰ㅡ㍦昴㔹〳戵〸敤攷㐲㥦㌳搰㕡㍦昴捦〶㙡ㄳ㕡攷㐲攵捣っㄵ摢晤晤搰ㄷっ㜴〰愱〳㕤攸㡢挶敡㈰㍦昴㈵〳慤㈷㌴攴㐲晦㘲愰敢昸愱㍣㝦㤲㙥つ㈶㜴㕤ㄷ晡戲㠱慥攷㠷扥㘲愰敢ㄳ扡㠱ぢ㝤搵㐰㌷昴㐳㕦㌳搰㈱㠴㙥攴㐲攵㈴㠵摤摡搸て晤㥢㠱㙥㐲攸㉦〴㕡晦㈶㤸扢〳㕡扤㔴攵昷㉢散户摦㌷昵㝤㠷㙥摣㜷㡦㠶〱ㄷ扤晤攴㍢攷扣戴捦㤸て扥扦昴搲㤷摥㍢攷改敦晦㤸ㅢ昳搸昲攵㡦散㝡挵搳敦っ㉥㕥㔹晤扢㙦愶㕤㜹㔸㘴昱㘱〷ㄶ攷㙦㍢昹戰㍤昷㥦ㅤ㤹戵捥愸㍥㝤晡昵摢㙡摤挷㠷㙣ㅤ㍡敡挰扢搵㠳慦㙥搸㔶昳ㄶ㉡㔸㡤㜹㥥扢捦摡㕤㜲搴㈹㤹昴搹摤㑤搱㈷ㅡ攲㌷挴挹㕦晣扤ㄹ扢扢㌹挹㔰㤲㘱㈴挳㐹戶㈰ㄹ〱㌲搰㔶㜲ㅡ㐰ㅢ㈳㔱㌶㥦㄰㑦〷挴挶㤶㠴㙥㐵攸㈰㈵戳㍡愱㕢晢愱㥣摤〵扡つ愱摢扡㔰㤹愴〹ㅤ攵㠷㜲戲ㄶ攸㜶㠴㙥敦㐲㘵捥㈵㜴戴ㅦ晡㤱㠱敥㐰㘸搸㠵捡ㄴ㑡㘸挴て攵㔴㉡㔶愳㠴挶㕣愸捣㠸㠴挶晤㔰捥㡣〲㑤㄰㥡㜴愱㌲挱ㄱ㥡昲㐳㌹搱〹㌴㑤㘸挶㠵捡㝣㐵攸㡥㝥㈸攷㉤㠱敥㐴攸捥㉥㔴愶ㅦ㐲挷昸愱㥣㠶〴㍡㤶搰㜱㉥㔴㘶ㄳ㐲ㅢ晣㔰捥㉡〲ㅤ㑦攸〴㠱搶㜳㍥昸摦摣㙢㤵㑣㈰㙣换㐴㔴挸㜱㡥㈷戶㈱㑥㈴搲㤶㐶戶㘵ㄷ㤲㐹㈴㤳㐹愶㤰㑣㈵搹㤵㘴㌷㤰㠱戵㑡㘶ㄲㅡ㥡㠶戲昹㠴㌸愳㠸愱改㠴捥㈰㜴㤰㤲㠹㠱搰㤹㝥㈸㈷〸㠱捥㈲㜴戶ぢ㤵㜱㥥搰㌹㝥㈸挷㝢㠱捥㈵㜴㥥ぢ㤵㘱㥢搰昹㝥㈸㠷㙦㠱㉥㈰㜴㜷㠱㠶㌸ち㤳㠹挵㐲づ扤㌲つ㕦晦㉦昷㥡㐴挰㝢㠲慢㌸㈰㡢攸㕡㉤㥡〰ㄵ摣㔸つ㜱㘴搶敡ㅣ㡥〵㜳㡤㕦㝤ㅦ慡㜳㤰ㄶ搱搵㘵敡ㅣ慤戵㍡㠷㘸挱㉣昷慢㌷㔱㥤〳户㠸慥㉣㔳攷〸慥搵㌹㙣ぢ收ち扦㝡㡥敡ㅣ捣㐵㜴㔹㤹㍡㐷㜵慤捥愱㕣㌰㤷晡搵ㅤ慡㜳㠰ㄷ搱挵㘵敡ㅣ改戵㍡㠷㜷挱㕣攴㔷㕦㐴㜵づ晡㈲扡愰㑣㥤愳扦㔶攷㤰㉦㤸㕦昹搵ㄷ㔳㥤ㄳ㠱㠸捥㉢㔳攷㡣愰搵㌹つ〸收㕣扦㝡ㅢ搵㌹㌹㠸攸散㌲㜵捥ㄲ㕡㥤㔳㠳㘰捥昲慢ㅦ㐸㜵㑥ㄸ㈲㍡愳㑣㥤愳㉥搵敤㑥㙣攰捥㍢挷㕢〱㥥愶㠱㥣昹敢ㄴ㐷㘰㘱㥦慡搹㕣搷慥㔳ㅣ㤳㠵㝤㡡㘶㜳㔹扡㑥㜱㤴ㄶ昶挹㥡捤㐵改㍡挵㜱㕢搸㈷㘹昶搶挲收㐸㉥散ㄳ㌵㝢ㅢ㘱㜳㙣ㄷ昶〹㥡㙤㜶㔵づ昲扡挷ㅣ搹〵㜳扣挶㐸㔷づ〳㔷㜱扣ㄷ搱戱㘵敡ㅣ昸戵㍡㐷㝢挱ㅣ攳㔷㍦㤲敡㥣〳㐴㜴㔴㤹㍡㈷〳慤捥ㄹ㐰㌰㐷晡搵㡦愱㍡攷〵ㄱㅤ㕥愶捥〹㐲慢㜳㔶㄰捣㘱㝥昵攳愹捥戹㐲㐴㠷㤴愹㜳搲搰敡㥣㈹〴戳捣慦㝥ㄲ搵㌹㝦㠸攸攰㌲㜵㑥㈴㕡㥤戳㠷㘰づ昲慢㥦㑡㜵捥㈹㈲敡㉡㔳攷攴愲搵㌹愳〸愶搳慦㝥〶搵㌹捦㠸攸挰㌲㜵㑥㌸㕡㥤戳㡣㘰づ昰慢㥦㑤㜵捥㍤㈲㙡㉢㔳攷㈴愴搵㌹昳〸愶搵慦㝥ㅥ搵㌹ㅦ㠹㘸㜱㤹㍡㈷㈶慤捥搹㐸㌰晢晢搵㉦愰晡〴㈳㕡㔴愶捥戹㠴敡昶㐵搸戰㉦〶挱愸捦愹㐴っ㌹㝥㐳㤷㠲慢㜶㌱愲扣ㄶ戹〷ㄲ愷ㅣ搱挸㘹戶㝢㈰㜱ㄲㄲ㜶㔶戳摤〳㘹㡡㘱敦愷搹敥㠱挴㠹㑡搰㑤㥡敤ㅥ㐸㥣扡㠴晤㑢捤㜶て愴摤っ㝢㕦捤㌶〷ㄲ㘷㌵敤ㄱ㑥㘵愲扡㡦挶㐸㔷慦〱㔷捤㌰愲扤捡搴㌹搳㘹㜵㑥㙦愲扥愷㕦晤㝡慡捦㌶愲摤换搴㌹晢㘹㜵㑥㜹愲扥挰慦㝥ㄳ搵㌹ㄱ㡡㘸㕥㤹㍡㘷㐴慤捥㘹㔰㌰㜳晤敡户㔲㥤㤳愳㠸㘶㤷慡㉢捥㠶扣㌲慡㔳晢㜸㕢㥣愳㕣ㅥ愷ㅢ㜷换昱戶ㄶ㜹㕢㡢扤慤㌶㙦㡢愳慣㘸搴㜰㈰ㅤ㔱㜹ㄱ慤㍢戵㤹ㄷ㡡晦扦㕦昵晢つ扣挱㝣㝤㘵㝢㕢㔲㔴ㅣ愴㕤ㄷ㜳扣㜵户㌸㜴扡㕢ㅣ〵摤㉤づ㘸敥ㄶ挷㈶㜷㡢挳㡣扢挵ㄱ挳摤攲挱敦㙥昱㌸㜶户㜸愸㌲ㅣ昶㙦㐱昸㔱摤㕢㔲㔴㍣㡥〵㜱ㅢ㌶摣㜶㝡㕢㙥㍢㜹㌰搳㥡㝤㍢㌶ㄴ㡦〸搷㌶㜷㙥㜷㡢晢愹扢挵㕤捥摤㘲㘷㜹昱㔴愷㔸戵扢㐵挳敥㤶㤸㐲〳散㍢挰攲昵㑥つ扥㈱ㄶ攴戰扢ㄳㅢ㤸㡡昹㥦戴敤㜷搸㐰ぢ搰晡敥㉤ㄶㄵ㡢戴㘸摦㠵つ昵㝦〶㈶㠰攲㥣㍢㠰㍣㔰㘹〳挲〲㈰づ搸搴㥤㐰〶攷㉥㄰戱ㅢ㐸昰昲戲㠲〴㤴㜱㈷㔴昰〰㌴㘸挸ㄷ愸㡣㠱㉤搷〷㜸㔳㐵づ㙦慥㜳㘹㜱㐹㍥㘴㜰扡㤸ㄵ㍣ㅣ㡤㌹㕣㉤〴搲愵㡤愲㤴ぢ㈲〴㈲昹㈱㑣昸戸㌵㌷㔴ち㌴搰㑤敡愰㌵昸㍡㉥㜶昰戸㌵㥢ㅣ㙥慦㠰㙣㠰っ㕡ㄳ愷ち㌲㘲捤戶〷攸㜳㘶ㅦ攰敤㍥㝢㠱っ㘰㌰㠳㘲〰挱〴昳ㄹ㐱〱ちち㐸戶㝤㈰挵愰慢㠰昶㈳ㄴ㈳㤸㄰挵愰㠰〷㉢㍥〰搲ㄱ攲ㄸ攴敥ㅡ挲㜹㄰愱ㅥ挱〴慢攷〷㔹〶㑡ㅥ愰㤴〸〶晣㈰ㄳ㔱㐵㐰㝡㔰㐴戸〱㌸㈴㄰搸</t>
  </si>
  <si>
    <t>Back to model</t>
  </si>
  <si>
    <t>Crystal Ball Team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</si>
</sst>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quot;$&quot;#,##0"/>
    <numFmt numFmtId="167" formatCode="0.0%"/>
    <numFmt numFmtId="168" formatCode="_(&quot;$&quot;* #,##0_);_(&quot;$&quot;* \(#,##0\);_(&quot;$&quot;* &quot;-&quot;??_);_(@_)"/>
  </numFmts>
  <fonts count="30" x14ac:knownFonts="1">
    <font>
      <sz val="10"/>
      <name val="Arial"/>
    </font>
    <font>
      <sz val="11"/>
      <color theme="1"/>
      <name val="Calibri"/>
      <family val="2"/>
      <scheme val="minor"/>
    </font>
    <font>
      <sz val="10"/>
      <name val="Arial"/>
      <family val="2"/>
    </font>
    <font>
      <sz val="8"/>
      <name val="Arial"/>
      <family val="2"/>
    </font>
    <font>
      <b/>
      <sz val="10"/>
      <name val="Arial"/>
      <family val="2"/>
    </font>
    <font>
      <i/>
      <sz val="10"/>
      <name val="Arial"/>
      <family val="2"/>
    </font>
    <font>
      <sz val="10"/>
      <name val="MS Sans Serif"/>
      <family val="2"/>
    </font>
    <font>
      <sz val="11"/>
      <color theme="1"/>
      <name val="Calibri"/>
      <family val="2"/>
      <scheme val="minor"/>
    </font>
    <font>
      <b/>
      <sz val="11"/>
      <color rgb="FFFA7D00"/>
      <name val="Calibri"/>
      <family val="2"/>
      <scheme val="minor"/>
    </font>
    <font>
      <sz val="11"/>
      <name val="Calibri"/>
      <family val="2"/>
      <scheme val="minor"/>
    </font>
    <font>
      <sz val="11"/>
      <color indexed="10"/>
      <name val="Calibri"/>
      <family val="2"/>
      <scheme val="minor"/>
    </font>
    <font>
      <b/>
      <sz val="11"/>
      <name val="Calibri"/>
      <family val="2"/>
      <scheme val="minor"/>
    </font>
    <font>
      <i/>
      <sz val="11"/>
      <name val="Calibri"/>
      <family val="2"/>
      <scheme val="minor"/>
    </font>
    <font>
      <sz val="18"/>
      <color rgb="FF1F497D"/>
      <name val="Cambria"/>
      <family val="1"/>
      <scheme val="major"/>
    </font>
    <font>
      <b/>
      <sz val="18"/>
      <color rgb="FF1F497D"/>
      <name val="Cambria"/>
      <family val="1"/>
      <scheme val="major"/>
    </font>
    <font>
      <sz val="11"/>
      <color theme="0"/>
      <name val="Calibri"/>
      <family val="2"/>
      <scheme val="minor"/>
    </font>
    <font>
      <sz val="12"/>
      <color theme="1"/>
      <name val="Calibri"/>
      <family val="2"/>
      <scheme val="minor"/>
    </font>
    <font>
      <sz val="14"/>
      <name val="Calibri"/>
      <family val="2"/>
      <scheme val="minor"/>
    </font>
    <font>
      <sz val="12"/>
      <color theme="0"/>
      <name val="Calibri"/>
      <family val="2"/>
      <scheme val="minor"/>
    </font>
    <font>
      <sz val="12"/>
      <color theme="1" tint="0.14999847407452621"/>
      <name val="Calibri"/>
      <family val="2"/>
      <scheme val="minor"/>
    </font>
    <font>
      <b/>
      <sz val="12"/>
      <color theme="1" tint="0.14999847407452621"/>
      <name val="Calibri"/>
      <family val="2"/>
      <scheme val="minor"/>
    </font>
    <font>
      <sz val="16"/>
      <color theme="3" tint="0.39997558519241921"/>
      <name val="Calibri"/>
      <family val="2"/>
      <scheme val="minor"/>
    </font>
    <font>
      <u/>
      <sz val="10"/>
      <color theme="10"/>
      <name val="MS Sans Serif"/>
      <family val="2"/>
    </font>
    <font>
      <u/>
      <sz val="10"/>
      <color rgb="FFFF0000"/>
      <name val="Calibri"/>
      <family val="2"/>
      <scheme val="minor"/>
    </font>
    <font>
      <b/>
      <i/>
      <sz val="10"/>
      <color theme="1" tint="0.499984740745262"/>
      <name val="Arial"/>
      <family val="2"/>
    </font>
    <font>
      <sz val="10"/>
      <color theme="1" tint="0.499984740745262"/>
      <name val="Arial"/>
      <family val="2"/>
    </font>
    <font>
      <b/>
      <sz val="11"/>
      <color rgb="FF0070C0"/>
      <name val="Calibri"/>
      <family val="2"/>
      <scheme val="minor"/>
    </font>
    <font>
      <u/>
      <sz val="10"/>
      <color rgb="FF0070C0"/>
      <name val="Calibri"/>
      <family val="2"/>
      <scheme val="minor"/>
    </font>
    <font>
      <sz val="11"/>
      <color theme="1" tint="0.249977111117893"/>
      <name val="Calibri"/>
      <family val="2"/>
      <scheme val="minor"/>
    </font>
    <font>
      <sz val="12"/>
      <color theme="1" tint="0.249977111117893"/>
      <name val="Calibri"/>
      <family val="2"/>
      <scheme val="minor"/>
    </font>
  </fonts>
  <fills count="19">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theme="9" tint="0.59999389629810485"/>
        <bgColor indexed="65"/>
      </patternFill>
    </fill>
    <fill>
      <patternFill patternType="solid">
        <fgColor rgb="FFF2F2F2"/>
      </patternFill>
    </fill>
    <fill>
      <patternFill patternType="solid">
        <fgColor theme="0"/>
        <bgColor indexed="64"/>
      </patternFill>
    </fill>
    <fill>
      <patternFill patternType="solid">
        <fgColor theme="6" tint="0.79998168889431442"/>
        <bgColor indexed="65"/>
      </patternFill>
    </fill>
    <fill>
      <patternFill patternType="solid">
        <fgColor theme="9"/>
      </patternFill>
    </fill>
    <fill>
      <patternFill patternType="solid">
        <fgColor theme="9" tint="0.79998168889431442"/>
        <bgColor indexed="65"/>
      </patternFill>
    </fill>
    <fill>
      <patternFill patternType="solid">
        <fgColor rgb="FFFEF6F0"/>
        <bgColor indexed="64"/>
      </patternFill>
    </fill>
    <fill>
      <patternFill patternType="solid">
        <fgColor rgb="FFFDF2E9"/>
        <bgColor indexed="64"/>
      </patternFill>
    </fill>
    <fill>
      <patternFill patternType="solid">
        <fgColor rgb="FFFFC7CE"/>
        <bgColor indexed="64"/>
      </patternFill>
    </fill>
    <fill>
      <patternFill patternType="solid">
        <fgColor rgb="FFC6EFCE"/>
        <bgColor indexed="64"/>
      </patternFill>
    </fill>
    <fill>
      <patternFill patternType="solid">
        <fgColor rgb="FFFFEB9C"/>
        <bgColor indexed="64"/>
      </patternFill>
    </fill>
    <fill>
      <patternFill patternType="solid">
        <fgColor rgb="FF00FF00"/>
        <bgColor indexed="64"/>
      </patternFill>
    </fill>
    <fill>
      <patternFill patternType="solid">
        <fgColor rgb="FFF6F9F1"/>
        <bgColor indexed="64"/>
      </patternFill>
    </fill>
    <fill>
      <patternFill patternType="solid">
        <fgColor rgb="FF00FFFF"/>
        <bgColor indexed="64"/>
      </patternFill>
    </fill>
    <fill>
      <patternFill patternType="solid">
        <fgColor theme="9" tint="0.59999389629810485"/>
        <bgColor indexed="64"/>
      </patternFill>
    </fill>
  </fills>
  <borders count="31">
    <border>
      <left/>
      <right/>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right/>
      <top style="thin">
        <color indexed="64"/>
      </top>
      <bottom/>
      <diagonal/>
    </border>
    <border>
      <left/>
      <right style="thin">
        <color theme="0" tint="-0.24994659260841701"/>
      </right>
      <top/>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style="thin">
        <color theme="0" tint="-0.24994659260841701"/>
      </left>
      <right/>
      <top/>
      <bottom style="medium">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s>
  <cellStyleXfs count="8">
    <xf numFmtId="0" fontId="0" fillId="0" borderId="0"/>
    <xf numFmtId="0" fontId="7" fillId="4" borderId="0" applyNumberFormat="0" applyBorder="0" applyAlignment="0" applyProtection="0"/>
    <xf numFmtId="0" fontId="8" fillId="5" borderId="6" applyNumberFormat="0" applyAlignment="0" applyProtection="0"/>
    <xf numFmtId="0" fontId="6" fillId="0" borderId="0"/>
    <xf numFmtId="0" fontId="1" fillId="7" borderId="0" applyNumberFormat="0" applyBorder="0" applyAlignment="0" applyProtection="0"/>
    <xf numFmtId="0" fontId="15" fillId="8" borderId="0" applyNumberFormat="0" applyBorder="0" applyAlignment="0" applyProtection="0"/>
    <xf numFmtId="0" fontId="1" fillId="9" borderId="0" applyNumberFormat="0" applyBorder="0" applyAlignment="0" applyProtection="0"/>
    <xf numFmtId="0" fontId="22" fillId="0" borderId="0" applyNumberFormat="0" applyFill="0" applyBorder="0" applyAlignment="0" applyProtection="0"/>
  </cellStyleXfs>
  <cellXfs count="190">
    <xf numFmtId="0" fontId="0" fillId="0" borderId="0" xfId="0"/>
    <xf numFmtId="0" fontId="0" fillId="0" borderId="0" xfId="0" applyAlignment="1">
      <alignment horizontal="center"/>
    </xf>
    <xf numFmtId="9" fontId="0" fillId="0" borderId="0" xfId="0" applyNumberFormat="1" applyAlignment="1">
      <alignment horizontal="center"/>
    </xf>
    <xf numFmtId="164" fontId="0" fillId="0" borderId="0" xfId="0" applyNumberFormat="1" applyAlignment="1">
      <alignment horizontal="center"/>
    </xf>
    <xf numFmtId="1" fontId="0" fillId="0" borderId="0" xfId="0" applyNumberFormat="1" applyAlignment="1">
      <alignment horizontal="center"/>
    </xf>
    <xf numFmtId="0" fontId="5" fillId="0" borderId="0" xfId="0" applyFont="1"/>
    <xf numFmtId="0" fontId="9" fillId="0" borderId="0" xfId="0" applyFont="1"/>
    <xf numFmtId="0" fontId="9" fillId="0" borderId="0" xfId="0" applyFont="1" applyAlignment="1">
      <alignment horizontal="center"/>
    </xf>
    <xf numFmtId="0" fontId="10" fillId="0" borderId="0" xfId="0" applyFont="1"/>
    <xf numFmtId="0" fontId="9" fillId="0" borderId="0" xfId="0" applyFont="1" applyFill="1" applyBorder="1"/>
    <xf numFmtId="0" fontId="9" fillId="0" borderId="0" xfId="0" applyFont="1" applyFill="1" applyAlignment="1">
      <alignment horizontal="center"/>
    </xf>
    <xf numFmtId="0" fontId="11" fillId="0" borderId="0" xfId="0" applyFont="1" applyFill="1" applyBorder="1"/>
    <xf numFmtId="1" fontId="9" fillId="0" borderId="0" xfId="0" applyNumberFormat="1" applyFont="1" applyBorder="1" applyAlignment="1">
      <alignment horizontal="center"/>
    </xf>
    <xf numFmtId="165" fontId="9" fillId="0" borderId="0" xfId="0" applyNumberFormat="1" applyFont="1" applyBorder="1" applyAlignment="1">
      <alignment horizontal="center"/>
    </xf>
    <xf numFmtId="4" fontId="9" fillId="2" borderId="0" xfId="0" applyNumberFormat="1" applyFont="1" applyFill="1" applyBorder="1" applyAlignment="1">
      <alignment horizontal="right"/>
    </xf>
    <xf numFmtId="2" fontId="9" fillId="2" borderId="0" xfId="0" applyNumberFormat="1" applyFont="1" applyFill="1" applyBorder="1" applyAlignment="1">
      <alignment horizontal="center"/>
    </xf>
    <xf numFmtId="167" fontId="9" fillId="2" borderId="0" xfId="0" applyNumberFormat="1" applyFont="1" applyFill="1" applyBorder="1" applyAlignment="1">
      <alignment horizontal="center"/>
    </xf>
    <xf numFmtId="0" fontId="9" fillId="2" borderId="0" xfId="0" applyFont="1" applyFill="1" applyBorder="1" applyAlignment="1">
      <alignment horizontal="center"/>
    </xf>
    <xf numFmtId="166" fontId="9" fillId="2" borderId="2" xfId="0" applyNumberFormat="1" applyFont="1" applyFill="1" applyBorder="1" applyAlignment="1">
      <alignment horizontal="center"/>
    </xf>
    <xf numFmtId="0" fontId="9" fillId="0" borderId="0" xfId="0" applyFont="1" applyFill="1" applyBorder="1" applyAlignment="1">
      <alignment horizontal="center"/>
    </xf>
    <xf numFmtId="4" fontId="9" fillId="2" borderId="0" xfId="0" applyNumberFormat="1" applyFont="1" applyFill="1" applyBorder="1" applyAlignment="1">
      <alignment horizontal="center"/>
    </xf>
    <xf numFmtId="166" fontId="9" fillId="2" borderId="1" xfId="0" applyNumberFormat="1" applyFont="1" applyFill="1" applyBorder="1" applyAlignment="1">
      <alignment horizontal="center"/>
    </xf>
    <xf numFmtId="166" fontId="9" fillId="2" borderId="3" xfId="0" applyNumberFormat="1" applyFont="1" applyFill="1" applyBorder="1" applyAlignment="1">
      <alignment horizontal="center"/>
    </xf>
    <xf numFmtId="0" fontId="11" fillId="0" borderId="0" xfId="0" applyFont="1" applyFill="1" applyAlignment="1">
      <alignment horizontal="center"/>
    </xf>
    <xf numFmtId="0" fontId="9" fillId="0" borderId="0" xfId="0" applyFont="1" applyBorder="1" applyAlignment="1">
      <alignment horizontal="center" vertical="center"/>
    </xf>
    <xf numFmtId="0" fontId="13" fillId="0" borderId="0" xfId="0" applyFont="1"/>
    <xf numFmtId="0" fontId="14" fillId="0" borderId="0" xfId="0" applyFont="1" applyAlignment="1">
      <alignment vertical="center"/>
    </xf>
    <xf numFmtId="0" fontId="9" fillId="0" borderId="0" xfId="0" applyFont="1" applyBorder="1" applyAlignment="1">
      <alignment horizontal="center"/>
    </xf>
    <xf numFmtId="0" fontId="9" fillId="0" borderId="0" xfId="0" applyFont="1" applyBorder="1"/>
    <xf numFmtId="0" fontId="9" fillId="6" borderId="0" xfId="0" applyFont="1" applyFill="1" applyBorder="1" applyAlignment="1">
      <alignment horizontal="center"/>
    </xf>
    <xf numFmtId="0" fontId="12" fillId="6" borderId="0" xfId="0" applyFont="1" applyFill="1" applyBorder="1" applyAlignment="1"/>
    <xf numFmtId="0" fontId="9" fillId="6" borderId="0" xfId="0" applyFont="1" applyFill="1" applyBorder="1"/>
    <xf numFmtId="0" fontId="11" fillId="6" borderId="0" xfId="0" applyFont="1" applyFill="1" applyBorder="1" applyAlignment="1">
      <alignment horizontal="right"/>
    </xf>
    <xf numFmtId="0" fontId="9" fillId="6" borderId="0" xfId="0" applyFont="1" applyFill="1" applyBorder="1" applyAlignment="1">
      <alignment vertical="center"/>
    </xf>
    <xf numFmtId="0" fontId="11" fillId="6" borderId="0" xfId="0" applyFont="1" applyFill="1" applyBorder="1" applyAlignment="1">
      <alignment horizontal="left" vertical="center"/>
    </xf>
    <xf numFmtId="0" fontId="8" fillId="5" borderId="6" xfId="2" applyAlignment="1">
      <alignment horizontal="center" vertical="center"/>
    </xf>
    <xf numFmtId="0" fontId="9" fillId="0" borderId="11" xfId="0" applyFont="1" applyBorder="1" applyAlignment="1">
      <alignment horizontal="center"/>
    </xf>
    <xf numFmtId="0" fontId="9" fillId="0" borderId="11" xfId="0" applyFont="1" applyBorder="1"/>
    <xf numFmtId="1" fontId="9" fillId="0" borderId="11" xfId="0" applyNumberFormat="1" applyFont="1" applyBorder="1" applyAlignment="1">
      <alignment horizontal="center"/>
    </xf>
    <xf numFmtId="165" fontId="9" fillId="0" borderId="11" xfId="0" applyNumberFormat="1" applyFont="1" applyBorder="1" applyAlignment="1">
      <alignment horizontal="center"/>
    </xf>
    <xf numFmtId="0" fontId="9" fillId="0" borderId="12" xfId="0" applyFont="1" applyBorder="1" applyAlignment="1">
      <alignment horizontal="center"/>
    </xf>
    <xf numFmtId="0" fontId="9" fillId="0" borderId="13" xfId="0" applyFont="1" applyBorder="1" applyAlignment="1">
      <alignment horizontal="center"/>
    </xf>
    <xf numFmtId="0" fontId="4" fillId="0" borderId="0" xfId="0" applyFont="1"/>
    <xf numFmtId="11" fontId="0" fillId="0" borderId="0" xfId="0" applyNumberFormat="1"/>
    <xf numFmtId="0" fontId="0" fillId="0" borderId="0" xfId="0" quotePrefix="1"/>
    <xf numFmtId="0" fontId="9" fillId="11" borderId="12" xfId="0" applyFont="1" applyFill="1" applyBorder="1" applyAlignment="1">
      <alignment horizontal="center"/>
    </xf>
    <xf numFmtId="0" fontId="9" fillId="11" borderId="0" xfId="0" applyFont="1" applyFill="1" applyBorder="1"/>
    <xf numFmtId="0" fontId="9" fillId="11" borderId="0" xfId="0" applyFont="1" applyFill="1" applyBorder="1" applyAlignment="1">
      <alignment horizontal="center"/>
    </xf>
    <xf numFmtId="1" fontId="9" fillId="11" borderId="0" xfId="0" applyNumberFormat="1" applyFont="1" applyFill="1" applyBorder="1" applyAlignment="1">
      <alignment horizontal="center"/>
    </xf>
    <xf numFmtId="165" fontId="9" fillId="11" borderId="0" xfId="0" applyNumberFormat="1" applyFont="1" applyFill="1" applyBorder="1" applyAlignment="1">
      <alignment horizontal="center"/>
    </xf>
    <xf numFmtId="0" fontId="9" fillId="6" borderId="17" xfId="0" applyFont="1" applyFill="1" applyBorder="1" applyAlignment="1">
      <alignment horizontal="center"/>
    </xf>
    <xf numFmtId="2" fontId="11" fillId="6" borderId="17" xfId="0" applyNumberFormat="1" applyFont="1" applyFill="1" applyBorder="1" applyAlignment="1">
      <alignment horizontal="center"/>
    </xf>
    <xf numFmtId="167" fontId="11" fillId="6" borderId="17" xfId="0" applyNumberFormat="1" applyFont="1" applyFill="1" applyBorder="1" applyAlignment="1">
      <alignment horizontal="center"/>
    </xf>
    <xf numFmtId="166" fontId="11" fillId="6" borderId="17" xfId="0" applyNumberFormat="1" applyFont="1" applyFill="1" applyBorder="1" applyAlignment="1">
      <alignment horizontal="right"/>
    </xf>
    <xf numFmtId="0" fontId="9" fillId="6" borderId="0" xfId="0" applyFont="1" applyFill="1" applyBorder="1" applyAlignment="1">
      <alignment horizontal="left"/>
    </xf>
    <xf numFmtId="3" fontId="9" fillId="6" borderId="0" xfId="0" applyNumberFormat="1" applyFont="1" applyFill="1" applyBorder="1" applyAlignment="1">
      <alignment horizontal="center"/>
    </xf>
    <xf numFmtId="1" fontId="9" fillId="6" borderId="0" xfId="0" applyNumberFormat="1" applyFont="1" applyFill="1" applyBorder="1" applyAlignment="1">
      <alignment horizontal="center"/>
    </xf>
    <xf numFmtId="1" fontId="9" fillId="6" borderId="11" xfId="0" applyNumberFormat="1" applyFont="1" applyFill="1" applyBorder="1" applyAlignment="1">
      <alignment horizontal="center"/>
    </xf>
    <xf numFmtId="167" fontId="9" fillId="6" borderId="0" xfId="0" applyNumberFormat="1" applyFont="1" applyFill="1" applyBorder="1" applyAlignment="1">
      <alignment horizontal="center"/>
    </xf>
    <xf numFmtId="167" fontId="9" fillId="6" borderId="11" xfId="0" applyNumberFormat="1" applyFont="1" applyFill="1" applyBorder="1" applyAlignment="1">
      <alignment horizontal="center"/>
    </xf>
    <xf numFmtId="166" fontId="9" fillId="6" borderId="0" xfId="0" applyNumberFormat="1" applyFont="1" applyFill="1" applyBorder="1" applyAlignment="1">
      <alignment horizontal="center"/>
    </xf>
    <xf numFmtId="166" fontId="9" fillId="6" borderId="11" xfId="0" applyNumberFormat="1" applyFont="1" applyFill="1" applyBorder="1" applyAlignment="1">
      <alignment horizontal="center"/>
    </xf>
    <xf numFmtId="4" fontId="9" fillId="6" borderId="0" xfId="0" applyNumberFormat="1" applyFont="1" applyFill="1" applyBorder="1" applyAlignment="1">
      <alignment horizontal="center"/>
    </xf>
    <xf numFmtId="4" fontId="9" fillId="6" borderId="11" xfId="0" applyNumberFormat="1" applyFont="1" applyFill="1" applyBorder="1" applyAlignment="1">
      <alignment horizontal="center"/>
    </xf>
    <xf numFmtId="0" fontId="9" fillId="0" borderId="9" xfId="0" applyFont="1" applyFill="1" applyBorder="1"/>
    <xf numFmtId="0" fontId="9" fillId="0" borderId="9" xfId="0" applyFont="1" applyBorder="1"/>
    <xf numFmtId="0" fontId="9" fillId="0" borderId="8" xfId="0" applyFont="1" applyBorder="1"/>
    <xf numFmtId="0" fontId="9" fillId="3" borderId="20" xfId="0" applyFont="1" applyFill="1" applyBorder="1"/>
    <xf numFmtId="0" fontId="9" fillId="3" borderId="21" xfId="0" applyFont="1" applyFill="1" applyBorder="1"/>
    <xf numFmtId="0" fontId="11" fillId="0" borderId="22" xfId="0" applyFont="1" applyBorder="1" applyAlignment="1">
      <alignment horizontal="left"/>
    </xf>
    <xf numFmtId="0" fontId="9" fillId="0" borderId="0" xfId="0" applyFont="1" applyBorder="1" applyAlignment="1">
      <alignment horizontal="left" indent="1"/>
    </xf>
    <xf numFmtId="0" fontId="9" fillId="0" borderId="23" xfId="0" applyFont="1" applyBorder="1"/>
    <xf numFmtId="0" fontId="11" fillId="0" borderId="24" xfId="0" applyFont="1" applyBorder="1" applyAlignment="1">
      <alignment horizontal="left"/>
    </xf>
    <xf numFmtId="0" fontId="9" fillId="0" borderId="25" xfId="0" applyFont="1" applyBorder="1"/>
    <xf numFmtId="0" fontId="9" fillId="0" borderId="25" xfId="0" applyFont="1" applyBorder="1" applyAlignment="1">
      <alignment horizontal="left" indent="1"/>
    </xf>
    <xf numFmtId="0" fontId="9" fillId="0" borderId="26" xfId="0" applyFont="1" applyBorder="1"/>
    <xf numFmtId="0" fontId="11" fillId="0" borderId="0" xfId="0" applyFont="1" applyBorder="1" applyAlignment="1">
      <alignment horizontal="left"/>
    </xf>
    <xf numFmtId="167" fontId="9" fillId="15" borderId="0" xfId="0" applyNumberFormat="1" applyFont="1" applyFill="1" applyBorder="1" applyAlignment="1">
      <alignment horizontal="center"/>
    </xf>
    <xf numFmtId="1" fontId="9" fillId="6" borderId="12" xfId="0" applyNumberFormat="1" applyFont="1" applyFill="1" applyBorder="1" applyAlignment="1">
      <alignment horizontal="center"/>
    </xf>
    <xf numFmtId="3" fontId="9" fillId="6" borderId="18" xfId="0" applyNumberFormat="1" applyFont="1" applyFill="1" applyBorder="1" applyAlignment="1">
      <alignment horizontal="center"/>
    </xf>
    <xf numFmtId="1" fontId="9" fillId="6" borderId="13" xfId="0" applyNumberFormat="1" applyFont="1" applyFill="1" applyBorder="1" applyAlignment="1">
      <alignment horizontal="center"/>
    </xf>
    <xf numFmtId="3" fontId="9" fillId="6" borderId="10" xfId="0" applyNumberFormat="1" applyFont="1" applyFill="1" applyBorder="1" applyAlignment="1">
      <alignment horizontal="center"/>
    </xf>
    <xf numFmtId="167" fontId="9" fillId="6" borderId="12" xfId="0" applyNumberFormat="1" applyFont="1" applyFill="1" applyBorder="1" applyAlignment="1">
      <alignment horizontal="center"/>
    </xf>
    <xf numFmtId="1" fontId="9" fillId="6" borderId="18" xfId="0" applyNumberFormat="1" applyFont="1" applyFill="1" applyBorder="1" applyAlignment="1">
      <alignment horizontal="center"/>
    </xf>
    <xf numFmtId="167" fontId="9" fillId="6" borderId="13" xfId="0" applyNumberFormat="1" applyFont="1" applyFill="1" applyBorder="1" applyAlignment="1">
      <alignment horizontal="center"/>
    </xf>
    <xf numFmtId="1" fontId="9" fillId="6" borderId="10" xfId="0" applyNumberFormat="1" applyFont="1" applyFill="1" applyBorder="1" applyAlignment="1">
      <alignment horizontal="center"/>
    </xf>
    <xf numFmtId="166" fontId="9" fillId="6" borderId="12" xfId="0" applyNumberFormat="1" applyFont="1" applyFill="1" applyBorder="1" applyAlignment="1">
      <alignment horizontal="center"/>
    </xf>
    <xf numFmtId="166" fontId="9" fillId="6" borderId="13" xfId="0" applyNumberFormat="1" applyFont="1" applyFill="1" applyBorder="1" applyAlignment="1">
      <alignment horizontal="center"/>
    </xf>
    <xf numFmtId="4" fontId="9" fillId="6" borderId="12" xfId="0" applyNumberFormat="1" applyFont="1" applyFill="1" applyBorder="1" applyAlignment="1">
      <alignment horizontal="center"/>
    </xf>
    <xf numFmtId="4" fontId="9" fillId="6" borderId="13" xfId="0" applyNumberFormat="1" applyFont="1" applyFill="1" applyBorder="1" applyAlignment="1">
      <alignment horizontal="center"/>
    </xf>
    <xf numFmtId="0" fontId="19" fillId="0" borderId="0" xfId="0" applyFont="1" applyAlignment="1">
      <alignment horizontal="center"/>
    </xf>
    <xf numFmtId="0" fontId="19" fillId="4" borderId="7" xfId="1" applyFont="1" applyBorder="1" applyAlignment="1">
      <alignment horizontal="center"/>
    </xf>
    <xf numFmtId="0" fontId="19" fillId="4" borderId="14" xfId="1" applyFont="1" applyBorder="1" applyAlignment="1">
      <alignment horizontal="center"/>
    </xf>
    <xf numFmtId="0" fontId="19" fillId="4" borderId="15" xfId="1" applyFont="1" applyBorder="1" applyAlignment="1">
      <alignment horizontal="center"/>
    </xf>
    <xf numFmtId="0" fontId="19" fillId="0" borderId="0" xfId="0" applyFont="1" applyFill="1" applyBorder="1" applyAlignment="1">
      <alignment horizontal="center"/>
    </xf>
    <xf numFmtId="0" fontId="19" fillId="4" borderId="9" xfId="1" applyFont="1" applyBorder="1" applyAlignment="1">
      <alignment horizontal="center"/>
    </xf>
    <xf numFmtId="0" fontId="20" fillId="0" borderId="0" xfId="0" applyFont="1" applyFill="1" applyBorder="1" applyAlignment="1">
      <alignment horizontal="center"/>
    </xf>
    <xf numFmtId="0" fontId="9" fillId="16" borderId="9" xfId="0" applyFont="1" applyFill="1" applyBorder="1"/>
    <xf numFmtId="1" fontId="9" fillId="16" borderId="12" xfId="0" applyNumberFormat="1" applyFont="1" applyFill="1" applyBorder="1" applyAlignment="1">
      <alignment horizontal="center"/>
    </xf>
    <xf numFmtId="1" fontId="9" fillId="16" borderId="0" xfId="0" applyNumberFormat="1" applyFont="1" applyFill="1" applyBorder="1" applyAlignment="1">
      <alignment horizontal="center"/>
    </xf>
    <xf numFmtId="3" fontId="9" fillId="16" borderId="18" xfId="0" applyNumberFormat="1" applyFont="1" applyFill="1" applyBorder="1" applyAlignment="1">
      <alignment horizontal="center"/>
    </xf>
    <xf numFmtId="167" fontId="9" fillId="16" borderId="12" xfId="0" applyNumberFormat="1" applyFont="1" applyFill="1" applyBorder="1" applyAlignment="1">
      <alignment horizontal="center"/>
    </xf>
    <xf numFmtId="167" fontId="9" fillId="16" borderId="0" xfId="0" applyNumberFormat="1" applyFont="1" applyFill="1" applyBorder="1" applyAlignment="1">
      <alignment horizontal="center"/>
    </xf>
    <xf numFmtId="1" fontId="9" fillId="16" borderId="18" xfId="0" applyNumberFormat="1" applyFont="1" applyFill="1" applyBorder="1" applyAlignment="1">
      <alignment horizontal="center"/>
    </xf>
    <xf numFmtId="166" fontId="9" fillId="16" borderId="12" xfId="0" applyNumberFormat="1" applyFont="1" applyFill="1" applyBorder="1" applyAlignment="1">
      <alignment horizontal="center"/>
    </xf>
    <xf numFmtId="166" fontId="9" fillId="16" borderId="0" xfId="0" applyNumberFormat="1" applyFont="1" applyFill="1" applyBorder="1" applyAlignment="1">
      <alignment horizontal="center"/>
    </xf>
    <xf numFmtId="4" fontId="9" fillId="16" borderId="12" xfId="0" applyNumberFormat="1" applyFont="1" applyFill="1" applyBorder="1" applyAlignment="1">
      <alignment horizontal="center"/>
    </xf>
    <xf numFmtId="4" fontId="9" fillId="16" borderId="0" xfId="0" applyNumberFormat="1" applyFont="1" applyFill="1" applyBorder="1" applyAlignment="1">
      <alignment horizontal="center"/>
    </xf>
    <xf numFmtId="4" fontId="9" fillId="15" borderId="18" xfId="0" applyNumberFormat="1" applyFont="1" applyFill="1" applyBorder="1" applyAlignment="1">
      <alignment horizontal="center"/>
    </xf>
    <xf numFmtId="166" fontId="9" fillId="15" borderId="18" xfId="0" applyNumberFormat="1" applyFont="1" applyFill="1" applyBorder="1" applyAlignment="1">
      <alignment horizontal="center"/>
    </xf>
    <xf numFmtId="1" fontId="9" fillId="15" borderId="0" xfId="0" applyNumberFormat="1" applyFont="1" applyFill="1" applyBorder="1" applyAlignment="1">
      <alignment horizontal="center"/>
    </xf>
    <xf numFmtId="166" fontId="9" fillId="15" borderId="10" xfId="0" applyNumberFormat="1" applyFont="1" applyFill="1" applyBorder="1" applyAlignment="1">
      <alignment horizontal="center"/>
    </xf>
    <xf numFmtId="4" fontId="9" fillId="15" borderId="10" xfId="0" applyNumberFormat="1" applyFont="1" applyFill="1" applyBorder="1" applyAlignment="1">
      <alignment horizontal="center"/>
    </xf>
    <xf numFmtId="3" fontId="9" fillId="15" borderId="0" xfId="0" applyNumberFormat="1" applyFont="1" applyFill="1" applyBorder="1" applyAlignment="1">
      <alignment horizontal="center"/>
    </xf>
    <xf numFmtId="167" fontId="9" fillId="15" borderId="11" xfId="0" applyNumberFormat="1" applyFont="1" applyFill="1" applyBorder="1" applyAlignment="1">
      <alignment horizontal="center"/>
    </xf>
    <xf numFmtId="3" fontId="9" fillId="15" borderId="11" xfId="0" applyNumberFormat="1" applyFont="1" applyFill="1" applyBorder="1" applyAlignment="1">
      <alignment horizontal="center"/>
    </xf>
    <xf numFmtId="1" fontId="9" fillId="15" borderId="11" xfId="0" applyNumberFormat="1" applyFont="1" applyFill="1" applyBorder="1" applyAlignment="1">
      <alignment horizontal="center"/>
    </xf>
    <xf numFmtId="0" fontId="9" fillId="17" borderId="9" xfId="0" applyFont="1" applyFill="1" applyBorder="1" applyAlignment="1">
      <alignment horizontal="center"/>
    </xf>
    <xf numFmtId="1" fontId="11" fillId="17" borderId="0" xfId="0" applyNumberFormat="1" applyFont="1" applyFill="1" applyBorder="1" applyAlignment="1">
      <alignment horizontal="center"/>
    </xf>
    <xf numFmtId="0" fontId="9" fillId="17" borderId="8" xfId="0" applyFont="1" applyFill="1" applyBorder="1" applyAlignment="1">
      <alignment horizontal="center"/>
    </xf>
    <xf numFmtId="166" fontId="11" fillId="17" borderId="17" xfId="0" applyNumberFormat="1" applyFont="1" applyFill="1" applyBorder="1" applyAlignment="1">
      <alignment horizontal="center"/>
    </xf>
    <xf numFmtId="0" fontId="21" fillId="0" borderId="0" xfId="0" applyFont="1"/>
    <xf numFmtId="0" fontId="23" fillId="0" borderId="0" xfId="7" applyFont="1" applyAlignment="1">
      <alignment horizontal="center" vertical="center"/>
    </xf>
    <xf numFmtId="0" fontId="9" fillId="0" borderId="12" xfId="0" applyFont="1" applyBorder="1" applyAlignment="1">
      <alignment horizontal="left" indent="1"/>
    </xf>
    <xf numFmtId="0" fontId="9" fillId="0" borderId="27" xfId="0" applyFont="1" applyBorder="1" applyAlignment="1">
      <alignment horizontal="left" indent="1"/>
    </xf>
    <xf numFmtId="0" fontId="11" fillId="0" borderId="0" xfId="3" applyFont="1" applyAlignment="1">
      <alignment wrapText="1"/>
    </xf>
    <xf numFmtId="0" fontId="9" fillId="0" borderId="0" xfId="3" applyFont="1"/>
    <xf numFmtId="0" fontId="9" fillId="0" borderId="0" xfId="3" applyFont="1" applyAlignment="1">
      <alignment wrapText="1"/>
    </xf>
    <xf numFmtId="0" fontId="9" fillId="0" borderId="0" xfId="3" applyNumberFormat="1" applyFont="1" applyAlignment="1">
      <alignment wrapText="1"/>
    </xf>
    <xf numFmtId="0" fontId="9" fillId="0" borderId="0" xfId="3" applyFont="1" applyFill="1" applyBorder="1"/>
    <xf numFmtId="168" fontId="11" fillId="0" borderId="0" xfId="0" applyNumberFormat="1" applyFont="1" applyFill="1" applyBorder="1" applyAlignment="1">
      <alignment horizontal="left"/>
    </xf>
    <xf numFmtId="0" fontId="11" fillId="0" borderId="0" xfId="3" applyFont="1"/>
    <xf numFmtId="0" fontId="14" fillId="0" borderId="0" xfId="3" applyFont="1" applyAlignment="1">
      <alignment wrapText="1"/>
    </xf>
    <xf numFmtId="0" fontId="13" fillId="0" borderId="0" xfId="3" applyFont="1"/>
    <xf numFmtId="0" fontId="14" fillId="0" borderId="0" xfId="0" applyFont="1" applyAlignment="1">
      <alignment vertical="top"/>
    </xf>
    <xf numFmtId="0" fontId="1" fillId="10" borderId="28" xfId="6" applyFill="1" applyBorder="1"/>
    <xf numFmtId="0" fontId="1" fillId="10" borderId="29" xfId="6" applyFill="1" applyBorder="1" applyAlignment="1">
      <alignment horizontal="center"/>
    </xf>
    <xf numFmtId="0" fontId="1" fillId="10" borderId="30" xfId="6" applyFill="1" applyBorder="1" applyAlignment="1">
      <alignment horizontal="center"/>
    </xf>
    <xf numFmtId="0" fontId="24" fillId="0" borderId="0" xfId="0" applyFont="1"/>
    <xf numFmtId="0" fontId="25" fillId="0" borderId="0" xfId="0" applyFont="1"/>
    <xf numFmtId="0" fontId="5" fillId="14" borderId="0" xfId="0" applyFont="1" applyFill="1" applyAlignment="1">
      <alignment horizontal="center"/>
    </xf>
    <xf numFmtId="0" fontId="5" fillId="13" borderId="0" xfId="0" applyFont="1" applyFill="1" applyAlignment="1">
      <alignment horizontal="center"/>
    </xf>
    <xf numFmtId="0" fontId="5" fillId="12" borderId="0" xfId="0" applyFont="1" applyFill="1" applyAlignment="1">
      <alignment horizontal="center"/>
    </xf>
    <xf numFmtId="1" fontId="26" fillId="0" borderId="0" xfId="0" applyNumberFormat="1" applyFont="1" applyBorder="1" applyAlignment="1">
      <alignment horizontal="center"/>
    </xf>
    <xf numFmtId="1" fontId="26" fillId="11" borderId="0" xfId="0" applyNumberFormat="1" applyFont="1" applyFill="1" applyBorder="1" applyAlignment="1">
      <alignment horizontal="center"/>
    </xf>
    <xf numFmtId="1" fontId="26" fillId="0" borderId="11" xfId="0" applyNumberFormat="1" applyFont="1" applyBorder="1" applyAlignment="1">
      <alignment horizontal="center"/>
    </xf>
    <xf numFmtId="0" fontId="27" fillId="0" borderId="0" xfId="7" applyFont="1" applyAlignment="1">
      <alignment horizontal="center" vertical="center"/>
    </xf>
    <xf numFmtId="0" fontId="19" fillId="4" borderId="13" xfId="1" applyFont="1" applyBorder="1" applyAlignment="1">
      <alignment horizontal="center"/>
    </xf>
    <xf numFmtId="0" fontId="19" fillId="4" borderId="11" xfId="1" applyFont="1" applyBorder="1" applyAlignment="1">
      <alignment horizontal="center"/>
    </xf>
    <xf numFmtId="0" fontId="28" fillId="18" borderId="7" xfId="5" applyFont="1" applyFill="1" applyBorder="1" applyAlignment="1">
      <alignment horizontal="center"/>
    </xf>
    <xf numFmtId="0" fontId="28" fillId="18" borderId="14" xfId="5" applyFont="1" applyFill="1" applyBorder="1" applyAlignment="1">
      <alignment horizontal="center"/>
    </xf>
    <xf numFmtId="0" fontId="28" fillId="18" borderId="15" xfId="5" applyFont="1" applyFill="1" applyBorder="1" applyAlignment="1">
      <alignment horizontal="center"/>
    </xf>
    <xf numFmtId="0" fontId="28" fillId="18" borderId="16" xfId="5" applyFont="1" applyFill="1" applyBorder="1" applyAlignment="1">
      <alignment horizontal="center"/>
    </xf>
    <xf numFmtId="0" fontId="28" fillId="18" borderId="8" xfId="5" applyFont="1" applyFill="1" applyBorder="1" applyAlignment="1">
      <alignment horizontal="center"/>
    </xf>
    <xf numFmtId="0" fontId="28" fillId="18" borderId="13" xfId="5" applyFont="1" applyFill="1" applyBorder="1" applyAlignment="1">
      <alignment horizontal="center"/>
    </xf>
    <xf numFmtId="0" fontId="28" fillId="18" borderId="11" xfId="5" applyFont="1" applyFill="1" applyBorder="1" applyAlignment="1">
      <alignment horizontal="center"/>
    </xf>
    <xf numFmtId="0" fontId="28" fillId="18" borderId="10" xfId="5" applyFont="1" applyFill="1" applyBorder="1" applyAlignment="1">
      <alignment horizontal="center"/>
    </xf>
    <xf numFmtId="0" fontId="29" fillId="18" borderId="7" xfId="4" applyFont="1" applyFill="1" applyBorder="1" applyAlignment="1">
      <alignment horizontal="center"/>
    </xf>
    <xf numFmtId="0" fontId="29" fillId="18" borderId="15" xfId="4" applyFont="1" applyFill="1" applyBorder="1" applyAlignment="1">
      <alignment horizontal="center"/>
    </xf>
    <xf numFmtId="0" fontId="29" fillId="18" borderId="16" xfId="4" applyFont="1" applyFill="1" applyBorder="1" applyAlignment="1">
      <alignment horizontal="center"/>
    </xf>
    <xf numFmtId="0" fontId="29" fillId="18" borderId="16" xfId="4" applyFont="1" applyFill="1" applyBorder="1" applyAlignment="1">
      <alignment horizontal="center" wrapText="1"/>
    </xf>
    <xf numFmtId="0" fontId="29" fillId="18" borderId="8" xfId="4" applyFont="1" applyFill="1" applyBorder="1" applyAlignment="1">
      <alignment horizontal="center"/>
    </xf>
    <xf numFmtId="0" fontId="29" fillId="18" borderId="13" xfId="4" applyFont="1" applyFill="1" applyBorder="1" applyAlignment="1">
      <alignment horizontal="center"/>
    </xf>
    <xf numFmtId="0" fontId="29" fillId="18" borderId="11" xfId="4" applyFont="1" applyFill="1" applyBorder="1" applyAlignment="1">
      <alignment horizontal="center"/>
    </xf>
    <xf numFmtId="0" fontId="29" fillId="18" borderId="10" xfId="4" applyFont="1" applyFill="1" applyBorder="1" applyAlignment="1">
      <alignment horizontal="center"/>
    </xf>
    <xf numFmtId="0" fontId="9" fillId="0" borderId="2" xfId="0" applyFont="1" applyBorder="1" applyAlignment="1">
      <alignment horizontal="center"/>
    </xf>
    <xf numFmtId="0" fontId="9" fillId="0" borderId="5" xfId="0" applyFont="1" applyBorder="1" applyAlignment="1">
      <alignment horizontal="center"/>
    </xf>
    <xf numFmtId="0" fontId="29" fillId="18" borderId="14" xfId="4" applyFont="1" applyFill="1" applyBorder="1" applyAlignment="1">
      <alignment horizontal="center"/>
    </xf>
    <xf numFmtId="0" fontId="29" fillId="18" borderId="15" xfId="4" applyFont="1" applyFill="1" applyBorder="1" applyAlignment="1">
      <alignment horizontal="center"/>
    </xf>
    <xf numFmtId="0" fontId="19" fillId="4" borderId="0" xfId="1" applyFont="1" applyBorder="1" applyAlignment="1">
      <alignment horizont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9" fillId="12" borderId="22" xfId="0" applyFont="1" applyFill="1" applyBorder="1" applyAlignment="1">
      <alignment horizontal="center"/>
    </xf>
    <xf numFmtId="0" fontId="9" fillId="12" borderId="0" xfId="0" applyFont="1" applyFill="1" applyBorder="1" applyAlignment="1">
      <alignment horizontal="center"/>
    </xf>
    <xf numFmtId="0" fontId="9" fillId="14" borderId="22" xfId="0" applyFont="1" applyFill="1" applyBorder="1" applyAlignment="1">
      <alignment horizontal="center"/>
    </xf>
    <xf numFmtId="0" fontId="9" fillId="14" borderId="0" xfId="0" applyFont="1" applyFill="1" applyBorder="1" applyAlignment="1">
      <alignment horizontal="center"/>
    </xf>
    <xf numFmtId="0" fontId="9" fillId="13" borderId="24" xfId="0" applyFont="1" applyFill="1" applyBorder="1" applyAlignment="1">
      <alignment horizontal="center"/>
    </xf>
    <xf numFmtId="0" fontId="9" fillId="13" borderId="25" xfId="0" applyFont="1" applyFill="1" applyBorder="1" applyAlignment="1">
      <alignment horizontal="center"/>
    </xf>
    <xf numFmtId="0" fontId="17" fillId="3" borderId="19" xfId="0" applyFont="1" applyFill="1" applyBorder="1" applyAlignment="1">
      <alignment horizontal="center"/>
    </xf>
    <xf numFmtId="0" fontId="17" fillId="3" borderId="20" xfId="0" applyFont="1" applyFill="1" applyBorder="1" applyAlignment="1">
      <alignment horizontal="center"/>
    </xf>
    <xf numFmtId="0" fontId="16" fillId="9" borderId="28" xfId="6" applyFont="1" applyBorder="1" applyAlignment="1">
      <alignment horizontal="center"/>
    </xf>
    <xf numFmtId="0" fontId="16" fillId="9" borderId="29" xfId="6" applyFont="1" applyBorder="1" applyAlignment="1">
      <alignment horizontal="center"/>
    </xf>
    <xf numFmtId="0" fontId="16" fillId="9" borderId="30" xfId="6" applyFont="1" applyBorder="1" applyAlignment="1">
      <alignment horizontal="center"/>
    </xf>
    <xf numFmtId="0" fontId="18" fillId="8" borderId="0" xfId="5" applyFont="1" applyAlignment="1">
      <alignment horizontal="center"/>
    </xf>
    <xf numFmtId="0" fontId="18" fillId="8" borderId="28" xfId="5" applyFont="1" applyBorder="1" applyAlignment="1">
      <alignment horizontal="center"/>
    </xf>
    <xf numFmtId="0" fontId="18" fillId="8" borderId="29" xfId="5" applyFont="1" applyBorder="1" applyAlignment="1">
      <alignment horizontal="center"/>
    </xf>
    <xf numFmtId="0" fontId="18" fillId="8" borderId="30" xfId="5" applyFont="1"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cellXfs>
  <cellStyles count="8">
    <cellStyle name="20% - Accent3" xfId="4" builtinId="38"/>
    <cellStyle name="20% - Accent6" xfId="6" builtinId="50"/>
    <cellStyle name="40% - Accent6" xfId="1" builtinId="51"/>
    <cellStyle name="Accent6" xfId="5" builtinId="49"/>
    <cellStyle name="Calculation" xfId="2" builtinId="22"/>
    <cellStyle name="Hyperlink" xfId="7" builtinId="8"/>
    <cellStyle name="Normal" xfId="0" builtinId="0"/>
    <cellStyle name="Normal_Reliability" xfId="3"/>
  </cellStyles>
  <dxfs count="5">
    <dxf>
      <fill>
        <patternFill>
          <bgColor indexed="40"/>
        </patternFill>
      </fill>
    </dxf>
    <dxf>
      <fill>
        <patternFill>
          <bgColor rgb="FFC6EFCE"/>
        </patternFill>
      </fill>
    </dxf>
    <dxf>
      <font>
        <condense val="0"/>
        <extend val="0"/>
        <color auto="1"/>
      </font>
      <fill>
        <patternFill>
          <bgColor rgb="FFFFEB9C"/>
        </patternFill>
      </fill>
    </dxf>
    <dxf>
      <font>
        <color auto="1"/>
      </font>
      <fill>
        <patternFill patternType="solid">
          <bgColor rgb="FFFFC7CE"/>
        </patternFill>
      </fill>
    </dxf>
    <dxf>
      <fill>
        <patternFill>
          <bgColor indexed="40"/>
        </patternFill>
      </fill>
    </dxf>
  </dxfs>
  <tableStyles count="0" defaultTableStyle="TableStyleMedium9" defaultPivotStyle="PivotStyleLight16"/>
  <colors>
    <mruColors>
      <color rgb="FFFFC7CE"/>
      <color rgb="FFFFEB9C"/>
      <color rgb="FFC6EFCE"/>
      <color rgb="FFFEF6F0"/>
      <color rgb="FFF6F9F1"/>
      <color rgb="FFF2F6EA"/>
      <color rgb="FFEBF1DE"/>
      <color rgb="FFFDF2E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0</xdr:colOff>
      <xdr:row>26</xdr:row>
      <xdr:rowOff>0</xdr:rowOff>
    </xdr:from>
    <xdr:to>
      <xdr:col>7</xdr:col>
      <xdr:colOff>9525</xdr:colOff>
      <xdr:row>28</xdr:row>
      <xdr:rowOff>9525</xdr:rowOff>
    </xdr:to>
    <xdr:cxnSp macro="">
      <xdr:nvCxnSpPr>
        <xdr:cNvPr id="1395" name="AutoShape 245" descr="5f16613d-aecf-4abb-a816-d37627923a2b"/>
        <xdr:cNvCxnSpPr>
          <a:cxnSpLocks noChangeShapeType="1"/>
        </xdr:cNvCxnSpPr>
      </xdr:nvCxnSpPr>
      <xdr:spPr bwMode="auto">
        <a:xfrm>
          <a:off x="3667125" y="4610100"/>
          <a:ext cx="676275" cy="333375"/>
        </a:xfrm>
        <a:prstGeom prst="bentConnector3">
          <a:avLst>
            <a:gd name="adj1" fmla="val 49296"/>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9525</xdr:colOff>
      <xdr:row>28</xdr:row>
      <xdr:rowOff>9525</xdr:rowOff>
    </xdr:from>
    <xdr:to>
      <xdr:col>7</xdr:col>
      <xdr:colOff>0</xdr:colOff>
      <xdr:row>30</xdr:row>
      <xdr:rowOff>0</xdr:rowOff>
    </xdr:to>
    <xdr:cxnSp macro="">
      <xdr:nvCxnSpPr>
        <xdr:cNvPr id="1396" name="AutoShape 246" descr="c2aa8db3-6a4f-4810-a352-5cc1ffb3aaa2"/>
        <xdr:cNvCxnSpPr>
          <a:cxnSpLocks noChangeShapeType="1"/>
        </xdr:cNvCxnSpPr>
      </xdr:nvCxnSpPr>
      <xdr:spPr bwMode="auto">
        <a:xfrm flipV="1">
          <a:off x="3676650" y="4943475"/>
          <a:ext cx="657225" cy="314325"/>
        </a:xfrm>
        <a:prstGeom prst="bentConnector3">
          <a:avLst>
            <a:gd name="adj1" fmla="val 49273"/>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19050</xdr:colOff>
      <xdr:row>25</xdr:row>
      <xdr:rowOff>142875</xdr:rowOff>
    </xdr:from>
    <xdr:to>
      <xdr:col>4</xdr:col>
      <xdr:colOff>0</xdr:colOff>
      <xdr:row>28</xdr:row>
      <xdr:rowOff>0</xdr:rowOff>
    </xdr:to>
    <xdr:cxnSp macro="">
      <xdr:nvCxnSpPr>
        <xdr:cNvPr id="1397" name="AutoShape 247" descr="154809d3-e8e7-40e8-b00b-647ae43d94a1"/>
        <xdr:cNvCxnSpPr>
          <a:cxnSpLocks noChangeShapeType="1"/>
        </xdr:cNvCxnSpPr>
      </xdr:nvCxnSpPr>
      <xdr:spPr bwMode="auto">
        <a:xfrm flipV="1">
          <a:off x="1685925" y="4591050"/>
          <a:ext cx="647700" cy="342900"/>
        </a:xfrm>
        <a:prstGeom prst="bentConnector3">
          <a:avLst>
            <a:gd name="adj1" fmla="val 50000"/>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19050</xdr:colOff>
      <xdr:row>28</xdr:row>
      <xdr:rowOff>0</xdr:rowOff>
    </xdr:from>
    <xdr:to>
      <xdr:col>4</xdr:col>
      <xdr:colOff>9525</xdr:colOff>
      <xdr:row>30</xdr:row>
      <xdr:rowOff>0</xdr:rowOff>
    </xdr:to>
    <xdr:cxnSp macro="">
      <xdr:nvCxnSpPr>
        <xdr:cNvPr id="1398" name="AutoShape 249" descr="0a46113b-f586-489a-b5d5-79d12170bbe8"/>
        <xdr:cNvCxnSpPr>
          <a:cxnSpLocks noChangeShapeType="1"/>
        </xdr:cNvCxnSpPr>
      </xdr:nvCxnSpPr>
      <xdr:spPr bwMode="auto">
        <a:xfrm>
          <a:off x="1685925" y="4933950"/>
          <a:ext cx="657225" cy="323850"/>
        </a:xfrm>
        <a:prstGeom prst="bentConnector3">
          <a:avLst>
            <a:gd name="adj1" fmla="val 49273"/>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9525</xdr:colOff>
      <xdr:row>28</xdr:row>
      <xdr:rowOff>0</xdr:rowOff>
    </xdr:from>
    <xdr:to>
      <xdr:col>10</xdr:col>
      <xdr:colOff>0</xdr:colOff>
      <xdr:row>28</xdr:row>
      <xdr:rowOff>0</xdr:rowOff>
    </xdr:to>
    <xdr:cxnSp macro="">
      <xdr:nvCxnSpPr>
        <xdr:cNvPr id="1399" name="AutoShape 250" descr="bae47b8d-4591-4f82-a784-80a1ee80131f"/>
        <xdr:cNvCxnSpPr>
          <a:cxnSpLocks noChangeShapeType="1"/>
        </xdr:cNvCxnSpPr>
      </xdr:nvCxnSpPr>
      <xdr:spPr bwMode="auto">
        <a:xfrm>
          <a:off x="5676900" y="4933950"/>
          <a:ext cx="657225" cy="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0</xdr:colOff>
      <xdr:row>27</xdr:row>
      <xdr:rowOff>152400</xdr:rowOff>
    </xdr:from>
    <xdr:to>
      <xdr:col>13</xdr:col>
      <xdr:colOff>0</xdr:colOff>
      <xdr:row>27</xdr:row>
      <xdr:rowOff>152400</xdr:rowOff>
    </xdr:to>
    <xdr:cxnSp macro="">
      <xdr:nvCxnSpPr>
        <xdr:cNvPr id="1400" name="AutoShape 251" descr="1ee820ee-f482-4c17-843a-4633f2a23078"/>
        <xdr:cNvCxnSpPr>
          <a:cxnSpLocks noChangeShapeType="1"/>
        </xdr:cNvCxnSpPr>
      </xdr:nvCxnSpPr>
      <xdr:spPr bwMode="auto">
        <a:xfrm>
          <a:off x="7667625" y="4924425"/>
          <a:ext cx="666750" cy="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15</xdr:col>
      <xdr:colOff>9525</xdr:colOff>
      <xdr:row>27</xdr:row>
      <xdr:rowOff>152400</xdr:rowOff>
    </xdr:from>
    <xdr:to>
      <xdr:col>16</xdr:col>
      <xdr:colOff>0</xdr:colOff>
      <xdr:row>27</xdr:row>
      <xdr:rowOff>152400</xdr:rowOff>
    </xdr:to>
    <xdr:cxnSp macro="">
      <xdr:nvCxnSpPr>
        <xdr:cNvPr id="1401" name="AutoShape 252" descr="083182fa-2e2c-4d97-a7b5-212d04fce186"/>
        <xdr:cNvCxnSpPr>
          <a:cxnSpLocks noChangeShapeType="1"/>
        </xdr:cNvCxnSpPr>
      </xdr:nvCxnSpPr>
      <xdr:spPr bwMode="auto">
        <a:xfrm>
          <a:off x="9629775" y="4924425"/>
          <a:ext cx="695325" cy="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14</xdr:col>
      <xdr:colOff>57150</xdr:colOff>
      <xdr:row>29</xdr:row>
      <xdr:rowOff>0</xdr:rowOff>
    </xdr:from>
    <xdr:to>
      <xdr:col>14</xdr:col>
      <xdr:colOff>57150</xdr:colOff>
      <xdr:row>30</xdr:row>
      <xdr:rowOff>0</xdr:rowOff>
    </xdr:to>
    <xdr:cxnSp macro="">
      <xdr:nvCxnSpPr>
        <xdr:cNvPr id="1402" name="AutoShape 253" descr="efd4d60e-e11d-4f82-a6e6-41ebb792e1cd"/>
        <xdr:cNvCxnSpPr>
          <a:cxnSpLocks noChangeShapeType="1"/>
        </xdr:cNvCxnSpPr>
      </xdr:nvCxnSpPr>
      <xdr:spPr bwMode="auto">
        <a:xfrm flipV="1">
          <a:off x="8972550" y="5095875"/>
          <a:ext cx="0" cy="16192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14</xdr:col>
      <xdr:colOff>57150</xdr:colOff>
      <xdr:row>32</xdr:row>
      <xdr:rowOff>0</xdr:rowOff>
    </xdr:from>
    <xdr:to>
      <xdr:col>14</xdr:col>
      <xdr:colOff>57150</xdr:colOff>
      <xdr:row>33</xdr:row>
      <xdr:rowOff>0</xdr:rowOff>
    </xdr:to>
    <xdr:cxnSp macro="">
      <xdr:nvCxnSpPr>
        <xdr:cNvPr id="1403" name="AutoShape 254" descr="c60c7471-8ff9-41a0-98ba-f304edfd2082"/>
        <xdr:cNvCxnSpPr>
          <a:cxnSpLocks noChangeShapeType="1"/>
        </xdr:cNvCxnSpPr>
      </xdr:nvCxnSpPr>
      <xdr:spPr bwMode="auto">
        <a:xfrm flipV="1">
          <a:off x="8972550" y="5629275"/>
          <a:ext cx="0" cy="16192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14</xdr:col>
      <xdr:colOff>57150</xdr:colOff>
      <xdr:row>35</xdr:row>
      <xdr:rowOff>0</xdr:rowOff>
    </xdr:from>
    <xdr:to>
      <xdr:col>14</xdr:col>
      <xdr:colOff>57150</xdr:colOff>
      <xdr:row>36</xdr:row>
      <xdr:rowOff>0</xdr:rowOff>
    </xdr:to>
    <xdr:cxnSp macro="">
      <xdr:nvCxnSpPr>
        <xdr:cNvPr id="1404" name="AutoShape 255" descr="76aaa497-4432-4339-984d-4d3ad8f72e7d"/>
        <xdr:cNvCxnSpPr>
          <a:cxnSpLocks noChangeShapeType="1"/>
        </xdr:cNvCxnSpPr>
      </xdr:nvCxnSpPr>
      <xdr:spPr bwMode="auto">
        <a:xfrm flipV="1">
          <a:off x="8972550" y="6115050"/>
          <a:ext cx="0" cy="161925"/>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0</xdr:colOff>
      <xdr:row>38</xdr:row>
      <xdr:rowOff>0</xdr:rowOff>
    </xdr:from>
    <xdr:to>
      <xdr:col>14</xdr:col>
      <xdr:colOff>47625</xdr:colOff>
      <xdr:row>40</xdr:row>
      <xdr:rowOff>0</xdr:rowOff>
    </xdr:to>
    <xdr:cxnSp macro="">
      <xdr:nvCxnSpPr>
        <xdr:cNvPr id="1405" name="AutoShape 257" descr="bb9b4d63-0063-4220-a808-e11be0ed3af1"/>
        <xdr:cNvCxnSpPr>
          <a:cxnSpLocks noChangeShapeType="1"/>
        </xdr:cNvCxnSpPr>
      </xdr:nvCxnSpPr>
      <xdr:spPr bwMode="auto">
        <a:xfrm flipV="1">
          <a:off x="7667625" y="6600825"/>
          <a:ext cx="1295400" cy="323850"/>
        </a:xfrm>
        <a:prstGeom prst="bentConnector3">
          <a:avLst>
            <a:gd name="adj1" fmla="val 99995"/>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9525</xdr:colOff>
      <xdr:row>34</xdr:row>
      <xdr:rowOff>0</xdr:rowOff>
    </xdr:from>
    <xdr:to>
      <xdr:col>13</xdr:col>
      <xdr:colOff>0</xdr:colOff>
      <xdr:row>34</xdr:row>
      <xdr:rowOff>0</xdr:rowOff>
    </xdr:to>
    <xdr:cxnSp macro="">
      <xdr:nvCxnSpPr>
        <xdr:cNvPr id="1406" name="AutoShape 258" descr="b5faa577-7632-4fb3-9690-ee50477a5d3c"/>
        <xdr:cNvCxnSpPr>
          <a:cxnSpLocks noChangeShapeType="1"/>
        </xdr:cNvCxnSpPr>
      </xdr:nvCxnSpPr>
      <xdr:spPr bwMode="auto">
        <a:xfrm>
          <a:off x="7677150" y="5953125"/>
          <a:ext cx="657225" cy="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0</xdr:colOff>
      <xdr:row>33</xdr:row>
      <xdr:rowOff>152400</xdr:rowOff>
    </xdr:from>
    <xdr:to>
      <xdr:col>10</xdr:col>
      <xdr:colOff>0</xdr:colOff>
      <xdr:row>33</xdr:row>
      <xdr:rowOff>152400</xdr:rowOff>
    </xdr:to>
    <xdr:cxnSp macro="">
      <xdr:nvCxnSpPr>
        <xdr:cNvPr id="1407" name="AutoShape 259" descr="df8dc522-1275-478e-9201-97835aaf13b6"/>
        <xdr:cNvCxnSpPr>
          <a:cxnSpLocks noChangeShapeType="1"/>
        </xdr:cNvCxnSpPr>
      </xdr:nvCxnSpPr>
      <xdr:spPr bwMode="auto">
        <a:xfrm>
          <a:off x="3667125" y="5943600"/>
          <a:ext cx="2667000" cy="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9525</xdr:colOff>
      <xdr:row>36</xdr:row>
      <xdr:rowOff>152400</xdr:rowOff>
    </xdr:from>
    <xdr:to>
      <xdr:col>7</xdr:col>
      <xdr:colOff>0</xdr:colOff>
      <xdr:row>38</xdr:row>
      <xdr:rowOff>19050</xdr:rowOff>
    </xdr:to>
    <xdr:cxnSp macro="">
      <xdr:nvCxnSpPr>
        <xdr:cNvPr id="1408" name="AutoShape 260" descr="804a6d98-20f1-4264-8796-4f71571032a4"/>
        <xdr:cNvCxnSpPr>
          <a:cxnSpLocks noChangeShapeType="1"/>
        </xdr:cNvCxnSpPr>
      </xdr:nvCxnSpPr>
      <xdr:spPr bwMode="auto">
        <a:xfrm flipV="1">
          <a:off x="3676650" y="6429375"/>
          <a:ext cx="657225" cy="190500"/>
        </a:xfrm>
        <a:prstGeom prst="bentConnector3">
          <a:avLst>
            <a:gd name="adj1" fmla="val 49273"/>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9525</xdr:colOff>
      <xdr:row>38</xdr:row>
      <xdr:rowOff>19050</xdr:rowOff>
    </xdr:from>
    <xdr:to>
      <xdr:col>7</xdr:col>
      <xdr:colOff>0</xdr:colOff>
      <xdr:row>39</xdr:row>
      <xdr:rowOff>142875</xdr:rowOff>
    </xdr:to>
    <xdr:cxnSp macro="">
      <xdr:nvCxnSpPr>
        <xdr:cNvPr id="1409" name="AutoShape 261" descr="6393e173-8370-4c98-9adc-8f03cd9fac5a"/>
        <xdr:cNvCxnSpPr>
          <a:cxnSpLocks noChangeShapeType="1"/>
        </xdr:cNvCxnSpPr>
      </xdr:nvCxnSpPr>
      <xdr:spPr bwMode="auto">
        <a:xfrm>
          <a:off x="3676650" y="6619875"/>
          <a:ext cx="657225" cy="285750"/>
        </a:xfrm>
        <a:prstGeom prst="bentConnector3">
          <a:avLst>
            <a:gd name="adj1" fmla="val 49273"/>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0</xdr:colOff>
      <xdr:row>36</xdr:row>
      <xdr:rowOff>152400</xdr:rowOff>
    </xdr:from>
    <xdr:to>
      <xdr:col>13</xdr:col>
      <xdr:colOff>0</xdr:colOff>
      <xdr:row>36</xdr:row>
      <xdr:rowOff>152400</xdr:rowOff>
    </xdr:to>
    <xdr:cxnSp macro="">
      <xdr:nvCxnSpPr>
        <xdr:cNvPr id="1410" name="AutoShape 262" descr="ba14f601-0729-4fe1-b831-d53dea84c499"/>
        <xdr:cNvCxnSpPr>
          <a:cxnSpLocks noChangeShapeType="1"/>
        </xdr:cNvCxnSpPr>
      </xdr:nvCxnSpPr>
      <xdr:spPr bwMode="auto">
        <a:xfrm>
          <a:off x="5667375" y="6429375"/>
          <a:ext cx="2667000" cy="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0</xdr:colOff>
      <xdr:row>40</xdr:row>
      <xdr:rowOff>0</xdr:rowOff>
    </xdr:from>
    <xdr:to>
      <xdr:col>10</xdr:col>
      <xdr:colOff>0</xdr:colOff>
      <xdr:row>40</xdr:row>
      <xdr:rowOff>0</xdr:rowOff>
    </xdr:to>
    <xdr:cxnSp macro="">
      <xdr:nvCxnSpPr>
        <xdr:cNvPr id="1411" name="AutoShape 263" descr="c2d6083a-878c-4970-ab1a-4c58943eaf5d"/>
        <xdr:cNvCxnSpPr>
          <a:cxnSpLocks noChangeShapeType="1"/>
        </xdr:cNvCxnSpPr>
      </xdr:nvCxnSpPr>
      <xdr:spPr bwMode="auto">
        <a:xfrm>
          <a:off x="5667375" y="6924675"/>
          <a:ext cx="666750" cy="0"/>
        </a:xfrm>
        <a:prstGeom prst="straightConnector1">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0</xdr:colOff>
      <xdr:row>34</xdr:row>
      <xdr:rowOff>0</xdr:rowOff>
    </xdr:from>
    <xdr:to>
      <xdr:col>4</xdr:col>
      <xdr:colOff>0</xdr:colOff>
      <xdr:row>35</xdr:row>
      <xdr:rowOff>152400</xdr:rowOff>
    </xdr:to>
    <xdr:cxnSp macro="">
      <xdr:nvCxnSpPr>
        <xdr:cNvPr id="1412" name="AutoShape 267" descr="ef2fad25-4430-4d3c-8c37-0827d74f92d7"/>
        <xdr:cNvCxnSpPr>
          <a:cxnSpLocks noChangeShapeType="1"/>
        </xdr:cNvCxnSpPr>
      </xdr:nvCxnSpPr>
      <xdr:spPr bwMode="auto">
        <a:xfrm flipV="1">
          <a:off x="1666875" y="5953125"/>
          <a:ext cx="666750" cy="314325"/>
        </a:xfrm>
        <a:prstGeom prst="bentConnector3">
          <a:avLst>
            <a:gd name="adj1" fmla="val 50000"/>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9525</xdr:colOff>
      <xdr:row>35</xdr:row>
      <xdr:rowOff>152400</xdr:rowOff>
    </xdr:from>
    <xdr:to>
      <xdr:col>4</xdr:col>
      <xdr:colOff>0</xdr:colOff>
      <xdr:row>37</xdr:row>
      <xdr:rowOff>142875</xdr:rowOff>
    </xdr:to>
    <xdr:cxnSp macro="">
      <xdr:nvCxnSpPr>
        <xdr:cNvPr id="1413" name="AutoShape 268" descr="4c8b0f0f-638b-4cd7-9bc3-d73ade82b650"/>
        <xdr:cNvCxnSpPr>
          <a:cxnSpLocks noChangeShapeType="1"/>
        </xdr:cNvCxnSpPr>
      </xdr:nvCxnSpPr>
      <xdr:spPr bwMode="auto">
        <a:xfrm>
          <a:off x="1676400" y="6267450"/>
          <a:ext cx="657225" cy="314325"/>
        </a:xfrm>
        <a:prstGeom prst="bentConnector3">
          <a:avLst>
            <a:gd name="adj1" fmla="val 49273"/>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38100</xdr:colOff>
      <xdr:row>29</xdr:row>
      <xdr:rowOff>9525</xdr:rowOff>
    </xdr:from>
    <xdr:to>
      <xdr:col>11</xdr:col>
      <xdr:colOff>38100</xdr:colOff>
      <xdr:row>32</xdr:row>
      <xdr:rowOff>0</xdr:rowOff>
    </xdr:to>
    <xdr:sp macro="" textlink="">
      <xdr:nvSpPr>
        <xdr:cNvPr id="1414" name="Line 269"/>
        <xdr:cNvSpPr>
          <a:spLocks noChangeShapeType="1"/>
        </xdr:cNvSpPr>
      </xdr:nvSpPr>
      <xdr:spPr bwMode="auto">
        <a:xfrm>
          <a:off x="7038975" y="5105400"/>
          <a:ext cx="0" cy="523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600075</xdr:colOff>
      <xdr:row>32</xdr:row>
      <xdr:rowOff>0</xdr:rowOff>
    </xdr:from>
    <xdr:to>
      <xdr:col>11</xdr:col>
      <xdr:colOff>38100</xdr:colOff>
      <xdr:row>32</xdr:row>
      <xdr:rowOff>0</xdr:rowOff>
    </xdr:to>
    <xdr:sp macro="" textlink="">
      <xdr:nvSpPr>
        <xdr:cNvPr id="1415" name="Line 270"/>
        <xdr:cNvSpPr>
          <a:spLocks noChangeShapeType="1"/>
        </xdr:cNvSpPr>
      </xdr:nvSpPr>
      <xdr:spPr bwMode="auto">
        <a:xfrm flipH="1">
          <a:off x="933450" y="5629275"/>
          <a:ext cx="6105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600075</xdr:colOff>
      <xdr:row>32</xdr:row>
      <xdr:rowOff>0</xdr:rowOff>
    </xdr:from>
    <xdr:to>
      <xdr:col>1</xdr:col>
      <xdr:colOff>600075</xdr:colOff>
      <xdr:row>35</xdr:row>
      <xdr:rowOff>0</xdr:rowOff>
    </xdr:to>
    <xdr:sp macro="" textlink="">
      <xdr:nvSpPr>
        <xdr:cNvPr id="1416" name="Line 271"/>
        <xdr:cNvSpPr>
          <a:spLocks noChangeShapeType="1"/>
        </xdr:cNvSpPr>
      </xdr:nvSpPr>
      <xdr:spPr bwMode="auto">
        <a:xfrm>
          <a:off x="933450" y="5629275"/>
          <a:ext cx="0" cy="4857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500059</xdr:colOff>
      <xdr:row>0</xdr:row>
      <xdr:rowOff>119069</xdr:rowOff>
    </xdr:from>
    <xdr:to>
      <xdr:col>12</xdr:col>
      <xdr:colOff>71435</xdr:colOff>
      <xdr:row>2</xdr:row>
      <xdr:rowOff>138119</xdr:rowOff>
    </xdr:to>
    <xdr:sp macro="" textlink="">
      <xdr:nvSpPr>
        <xdr:cNvPr id="24" name="Rounded Rectangular Callout 23" descr="dff37549-92c3-448f-a81c-cebde047c78d"/>
        <xdr:cNvSpPr/>
      </xdr:nvSpPr>
      <xdr:spPr bwMode="auto">
        <a:xfrm>
          <a:off x="3500434" y="119069"/>
          <a:ext cx="4238626" cy="495300"/>
        </a:xfrm>
        <a:prstGeom prst="wedgeRoundRectCallout">
          <a:avLst>
            <a:gd name="adj1" fmla="val -20817"/>
            <a:gd name="adj2" fmla="val 46680"/>
            <a:gd name="adj3" fmla="val 16667"/>
          </a:avLst>
        </a:prstGeom>
        <a:solidFill>
          <a:schemeClr val="accent3">
            <a:lumMod val="40000"/>
            <a:lumOff val="60000"/>
          </a:schemeClr>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0" tIns="0" rIns="0" bIns="0" rtlCol="0" anchor="ctr" upright="1"/>
        <a:lstStyle/>
        <a:p>
          <a:pPr algn="ctr"/>
          <a:r>
            <a:rPr lang="en-US" sz="1050" b="0" i="1">
              <a:solidFill>
                <a:sysClr val="windowText" lastClr="000000"/>
              </a:solidFill>
            </a:rPr>
            <a:t>Note:</a:t>
          </a:r>
          <a:r>
            <a:rPr lang="en-US" sz="1050" b="0" i="1" baseline="0">
              <a:solidFill>
                <a:sysClr val="windowText" lastClr="000000"/>
              </a:solidFill>
            </a:rPr>
            <a:t> this model contains</a:t>
          </a:r>
          <a:r>
            <a:rPr lang="en-US" sz="1050" b="0" i="1">
              <a:solidFill>
                <a:sysClr val="windowText" lastClr="000000"/>
              </a:solidFill>
            </a:rPr>
            <a:t> circular reference calculations .  Verify that the Iteration setting under Tools &gt; Options &gt; Calculation is enabled.</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9525</xdr:colOff>
      <xdr:row>0</xdr:row>
      <xdr:rowOff>9525</xdr:rowOff>
    </xdr:to>
    <xdr:pic>
      <xdr:nvPicPr>
        <xdr:cNvPr id="3074" name="CB_00000000000000000000000000000001" hidden="1"/>
        <xdr:cNvPicPr>
          <a:picLocks noGrp="1"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525" cy="9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twoCellAnchor editAs="oneCell">
    <xdr:from>
      <xdr:col>0</xdr:col>
      <xdr:colOff>0</xdr:colOff>
      <xdr:row>0</xdr:row>
      <xdr:rowOff>0</xdr:rowOff>
    </xdr:from>
    <xdr:to>
      <xdr:col>0</xdr:col>
      <xdr:colOff>9525</xdr:colOff>
      <xdr:row>0</xdr:row>
      <xdr:rowOff>9525</xdr:rowOff>
    </xdr:to>
    <xdr:pic>
      <xdr:nvPicPr>
        <xdr:cNvPr id="3075" name="CB_00000000000000000000000000000000" hidden="1"/>
        <xdr:cNvPicPr>
          <a:picLocks noGrp="1"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525" cy="9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ebutz/Local%20Settings/Temporary%20Internet%20Files/OLK2/Workforce%20with%20Queuing%20Dav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sheetName val="Model"/>
      <sheetName val="Summary"/>
      <sheetName val="Teller 1"/>
      <sheetName val="Teller 2"/>
      <sheetName val="Teller 3"/>
      <sheetName val="Teller 4"/>
      <sheetName val="Teller 5"/>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3"/>
  <sheetViews>
    <sheetView workbookViewId="0"/>
  </sheetViews>
  <sheetFormatPr defaultRowHeight="12.75" x14ac:dyDescent="0.2"/>
  <cols>
    <col min="1" max="2" width="36.7109375" customWidth="1"/>
  </cols>
  <sheetData>
    <row r="1" spans="1:3" x14ac:dyDescent="0.2">
      <c r="A1" s="42" t="s">
        <v>148</v>
      </c>
    </row>
    <row r="3" spans="1:3" x14ac:dyDescent="0.2">
      <c r="A3" t="s">
        <v>149</v>
      </c>
      <c r="B3" t="s">
        <v>150</v>
      </c>
      <c r="C3">
        <v>0</v>
      </c>
    </row>
    <row r="4" spans="1:3" x14ac:dyDescent="0.2">
      <c r="A4" t="s">
        <v>151</v>
      </c>
    </row>
    <row r="5" spans="1:3" x14ac:dyDescent="0.2">
      <c r="A5" t="s">
        <v>152</v>
      </c>
    </row>
    <row r="7" spans="1:3" x14ac:dyDescent="0.2">
      <c r="A7" s="42" t="s">
        <v>153</v>
      </c>
      <c r="B7" t="s">
        <v>154</v>
      </c>
    </row>
    <row r="8" spans="1:3" x14ac:dyDescent="0.2">
      <c r="B8">
        <v>2</v>
      </c>
    </row>
    <row r="10" spans="1:3" x14ac:dyDescent="0.2">
      <c r="A10" t="s">
        <v>155</v>
      </c>
    </row>
    <row r="11" spans="1:3" x14ac:dyDescent="0.2">
      <c r="A11" t="e">
        <f>CB_DATA_!#REF!</f>
        <v>#REF!</v>
      </c>
      <c r="B11" t="e">
        <f>Model!#REF!</f>
        <v>#REF!</v>
      </c>
    </row>
    <row r="13" spans="1:3" x14ac:dyDescent="0.2">
      <c r="A13" t="s">
        <v>156</v>
      </c>
    </row>
    <row r="14" spans="1:3" x14ac:dyDescent="0.2">
      <c r="A14" s="43" t="s">
        <v>160</v>
      </c>
      <c r="B14" t="s">
        <v>166</v>
      </c>
    </row>
    <row r="16" spans="1:3" x14ac:dyDescent="0.2">
      <c r="A16" t="s">
        <v>157</v>
      </c>
    </row>
    <row r="19" spans="1:2" x14ac:dyDescent="0.2">
      <c r="A19" t="s">
        <v>158</v>
      </c>
    </row>
    <row r="20" spans="1:2" x14ac:dyDescent="0.2">
      <c r="A20">
        <v>31</v>
      </c>
      <c r="B20">
        <v>43</v>
      </c>
    </row>
    <row r="25" spans="1:2" x14ac:dyDescent="0.2">
      <c r="A25" s="42" t="s">
        <v>159</v>
      </c>
    </row>
    <row r="26" spans="1:2" x14ac:dyDescent="0.2">
      <c r="A26" s="44" t="s">
        <v>161</v>
      </c>
      <c r="B26" s="44" t="s">
        <v>161</v>
      </c>
    </row>
    <row r="27" spans="1:2" x14ac:dyDescent="0.2">
      <c r="A27" t="s">
        <v>162</v>
      </c>
      <c r="B27" t="s">
        <v>171</v>
      </c>
    </row>
    <row r="28" spans="1:2" x14ac:dyDescent="0.2">
      <c r="A28" s="44" t="s">
        <v>163</v>
      </c>
      <c r="B28" s="44" t="s">
        <v>163</v>
      </c>
    </row>
    <row r="29" spans="1:2" x14ac:dyDescent="0.2">
      <c r="A29" s="44" t="s">
        <v>164</v>
      </c>
      <c r="B29" s="44" t="s">
        <v>167</v>
      </c>
    </row>
    <row r="30" spans="1:2" x14ac:dyDescent="0.2">
      <c r="A30" t="s">
        <v>165</v>
      </c>
      <c r="B30" t="s">
        <v>180</v>
      </c>
    </row>
    <row r="31" spans="1:2" x14ac:dyDescent="0.2">
      <c r="A31" s="44" t="s">
        <v>163</v>
      </c>
      <c r="B31" s="44" t="s">
        <v>163</v>
      </c>
    </row>
    <row r="32" spans="1:2" x14ac:dyDescent="0.2">
      <c r="B32" s="44" t="s">
        <v>168</v>
      </c>
    </row>
    <row r="33" spans="2:2" x14ac:dyDescent="0.2">
      <c r="B33" t="s">
        <v>181</v>
      </c>
    </row>
    <row r="34" spans="2:2" x14ac:dyDescent="0.2">
      <c r="B34" s="44" t="s">
        <v>163</v>
      </c>
    </row>
    <row r="35" spans="2:2" x14ac:dyDescent="0.2">
      <c r="B35" s="44" t="s">
        <v>169</v>
      </c>
    </row>
    <row r="36" spans="2:2" x14ac:dyDescent="0.2">
      <c r="B36" t="s">
        <v>182</v>
      </c>
    </row>
    <row r="37" spans="2:2" x14ac:dyDescent="0.2">
      <c r="B37" s="44" t="s">
        <v>163</v>
      </c>
    </row>
    <row r="38" spans="2:2" x14ac:dyDescent="0.2">
      <c r="B38" s="44" t="s">
        <v>170</v>
      </c>
    </row>
    <row r="39" spans="2:2" x14ac:dyDescent="0.2">
      <c r="B39" t="s">
        <v>185</v>
      </c>
    </row>
    <row r="40" spans="2:2" x14ac:dyDescent="0.2">
      <c r="B40" s="44" t="s">
        <v>163</v>
      </c>
    </row>
    <row r="41" spans="2:2" x14ac:dyDescent="0.2">
      <c r="B41" s="44" t="s">
        <v>164</v>
      </c>
    </row>
    <row r="42" spans="2:2" x14ac:dyDescent="0.2">
      <c r="B42" t="s">
        <v>183</v>
      </c>
    </row>
    <row r="43" spans="2:2" x14ac:dyDescent="0.2">
      <c r="B43" s="44" t="s">
        <v>163</v>
      </c>
    </row>
  </sheetData>
  <phoneticPr fontId="3"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B1:O50"/>
  <sheetViews>
    <sheetView showGridLines="0" showRowColHeaders="0" workbookViewId="0">
      <selection activeCell="B5" sqref="B5"/>
    </sheetView>
  </sheetViews>
  <sheetFormatPr defaultRowHeight="15" x14ac:dyDescent="0.25"/>
  <cols>
    <col min="1" max="1" width="9.140625" style="126"/>
    <col min="2" max="2" width="114.85546875" style="127" customWidth="1"/>
    <col min="3" max="16384" width="9.140625" style="126"/>
  </cols>
  <sheetData>
    <row r="1" spans="2:14" ht="22.5" x14ac:dyDescent="0.3">
      <c r="B1" s="132" t="s">
        <v>93</v>
      </c>
      <c r="C1" s="133"/>
    </row>
    <row r="2" spans="2:14" ht="15.75" customHeight="1" x14ac:dyDescent="0.3">
      <c r="B2" s="132"/>
      <c r="C2" s="133"/>
    </row>
    <row r="3" spans="2:14" x14ac:dyDescent="0.25">
      <c r="B3" s="125" t="s">
        <v>114</v>
      </c>
    </row>
    <row r="4" spans="2:14" x14ac:dyDescent="0.25">
      <c r="B4" s="127" t="s">
        <v>187</v>
      </c>
    </row>
    <row r="6" spans="2:14" x14ac:dyDescent="0.25">
      <c r="B6" s="125" t="s">
        <v>115</v>
      </c>
    </row>
    <row r="7" spans="2:14" ht="90" x14ac:dyDescent="0.25">
      <c r="B7" s="128" t="s">
        <v>116</v>
      </c>
    </row>
    <row r="8" spans="2:14" x14ac:dyDescent="0.25">
      <c r="B8" s="128"/>
    </row>
    <row r="9" spans="2:14" ht="30" x14ac:dyDescent="0.25">
      <c r="B9" s="125" t="s">
        <v>177</v>
      </c>
    </row>
    <row r="10" spans="2:14" x14ac:dyDescent="0.25">
      <c r="B10" s="125"/>
    </row>
    <row r="11" spans="2:14" x14ac:dyDescent="0.25">
      <c r="B11" s="125" t="s">
        <v>117</v>
      </c>
    </row>
    <row r="12" spans="2:14" ht="60" x14ac:dyDescent="0.25">
      <c r="B12" s="128" t="s">
        <v>118</v>
      </c>
    </row>
    <row r="13" spans="2:14" x14ac:dyDescent="0.25">
      <c r="B13" s="128"/>
    </row>
    <row r="14" spans="2:14" ht="75" x14ac:dyDescent="0.25">
      <c r="B14" s="128" t="s">
        <v>119</v>
      </c>
    </row>
    <row r="15" spans="2:14" x14ac:dyDescent="0.25">
      <c r="B15" s="128"/>
    </row>
    <row r="16" spans="2:14" ht="75" x14ac:dyDescent="0.25">
      <c r="B16" s="128" t="s">
        <v>120</v>
      </c>
      <c r="L16" s="11"/>
      <c r="M16" s="129"/>
      <c r="N16" s="129"/>
    </row>
    <row r="17" spans="2:15" x14ac:dyDescent="0.25">
      <c r="B17" s="128"/>
      <c r="L17" s="11"/>
      <c r="M17" s="129"/>
      <c r="N17" s="129"/>
    </row>
    <row r="18" spans="2:15" ht="75" x14ac:dyDescent="0.25">
      <c r="B18" s="128" t="s">
        <v>121</v>
      </c>
      <c r="L18" s="11"/>
      <c r="M18" s="129"/>
      <c r="N18" s="129"/>
    </row>
    <row r="19" spans="2:15" x14ac:dyDescent="0.25">
      <c r="B19" s="128"/>
      <c r="L19" s="11"/>
      <c r="M19" s="129"/>
      <c r="N19" s="129"/>
    </row>
    <row r="20" spans="2:15" ht="61.5" customHeight="1" x14ac:dyDescent="0.25">
      <c r="B20" s="128" t="s">
        <v>122</v>
      </c>
      <c r="L20" s="130"/>
      <c r="M20" s="11"/>
      <c r="N20" s="129"/>
    </row>
    <row r="21" spans="2:15" x14ac:dyDescent="0.25">
      <c r="B21" s="128"/>
      <c r="L21" s="130"/>
      <c r="M21" s="11"/>
      <c r="N21" s="129"/>
    </row>
    <row r="22" spans="2:15" ht="75" x14ac:dyDescent="0.25">
      <c r="B22" s="128" t="s">
        <v>123</v>
      </c>
      <c r="L22" s="129"/>
      <c r="M22" s="129"/>
      <c r="N22" s="129"/>
    </row>
    <row r="23" spans="2:15" x14ac:dyDescent="0.25">
      <c r="B23" s="128"/>
      <c r="L23" s="129"/>
      <c r="M23" s="129"/>
      <c r="N23" s="129"/>
    </row>
    <row r="24" spans="2:15" ht="75" x14ac:dyDescent="0.25">
      <c r="B24" s="128" t="s">
        <v>124</v>
      </c>
    </row>
    <row r="25" spans="2:15" x14ac:dyDescent="0.25">
      <c r="B25" s="128"/>
    </row>
    <row r="26" spans="2:15" ht="60" x14ac:dyDescent="0.25">
      <c r="B26" s="128" t="s">
        <v>125</v>
      </c>
    </row>
    <row r="27" spans="2:15" x14ac:dyDescent="0.25">
      <c r="B27" s="128"/>
    </row>
    <row r="28" spans="2:15" ht="43.5" customHeight="1" x14ac:dyDescent="0.25">
      <c r="B28" s="128" t="s">
        <v>126</v>
      </c>
      <c r="L28" s="9"/>
      <c r="M28" s="9"/>
      <c r="N28" s="9"/>
      <c r="O28" s="129"/>
    </row>
    <row r="29" spans="2:15" x14ac:dyDescent="0.25">
      <c r="B29" s="128"/>
      <c r="L29" s="9"/>
      <c r="M29" s="9"/>
      <c r="N29" s="9"/>
      <c r="O29" s="129"/>
    </row>
    <row r="30" spans="2:15" x14ac:dyDescent="0.25">
      <c r="B30" s="125" t="s">
        <v>127</v>
      </c>
      <c r="L30" s="9"/>
      <c r="M30" s="9"/>
      <c r="N30" s="9"/>
      <c r="O30" s="129"/>
    </row>
    <row r="31" spans="2:15" ht="75" x14ac:dyDescent="0.25">
      <c r="B31" s="128" t="s">
        <v>128</v>
      </c>
      <c r="L31" s="9"/>
      <c r="M31" s="9"/>
      <c r="N31" s="9"/>
      <c r="O31" s="129"/>
    </row>
    <row r="32" spans="2:15" x14ac:dyDescent="0.25">
      <c r="B32" s="128"/>
      <c r="L32" s="9"/>
      <c r="M32" s="9"/>
      <c r="N32" s="9"/>
      <c r="O32" s="129"/>
    </row>
    <row r="33" spans="2:2" ht="57" customHeight="1" x14ac:dyDescent="0.25">
      <c r="B33" s="128" t="s">
        <v>129</v>
      </c>
    </row>
    <row r="34" spans="2:2" x14ac:dyDescent="0.25">
      <c r="B34" s="128"/>
    </row>
    <row r="35" spans="2:2" ht="45" x14ac:dyDescent="0.25">
      <c r="B35" s="128" t="s">
        <v>130</v>
      </c>
    </row>
    <row r="36" spans="2:2" x14ac:dyDescent="0.25">
      <c r="B36" s="128"/>
    </row>
    <row r="37" spans="2:2" ht="75" x14ac:dyDescent="0.25">
      <c r="B37" s="128" t="s">
        <v>131</v>
      </c>
    </row>
    <row r="38" spans="2:2" x14ac:dyDescent="0.25">
      <c r="B38" s="128"/>
    </row>
    <row r="39" spans="2:2" ht="60" x14ac:dyDescent="0.25">
      <c r="B39" s="128" t="s">
        <v>132</v>
      </c>
    </row>
    <row r="40" spans="2:2" x14ac:dyDescent="0.25">
      <c r="B40" s="128"/>
    </row>
    <row r="41" spans="2:2" ht="92.25" customHeight="1" x14ac:dyDescent="0.25">
      <c r="B41" s="128" t="s">
        <v>133</v>
      </c>
    </row>
    <row r="42" spans="2:2" x14ac:dyDescent="0.25">
      <c r="B42" s="128"/>
    </row>
    <row r="43" spans="2:2" ht="90" x14ac:dyDescent="0.25">
      <c r="B43" s="128" t="s">
        <v>134</v>
      </c>
    </row>
    <row r="44" spans="2:2" x14ac:dyDescent="0.25">
      <c r="B44" s="128"/>
    </row>
    <row r="45" spans="2:2" ht="75" x14ac:dyDescent="0.25">
      <c r="B45" s="128" t="s">
        <v>135</v>
      </c>
    </row>
    <row r="46" spans="2:2" x14ac:dyDescent="0.25">
      <c r="B46" s="128"/>
    </row>
    <row r="47" spans="2:2" s="131" customFormat="1" x14ac:dyDescent="0.25">
      <c r="B47" s="125" t="s">
        <v>136</v>
      </c>
    </row>
    <row r="48" spans="2:2" ht="30" x14ac:dyDescent="0.25">
      <c r="B48" s="127" t="s">
        <v>137</v>
      </c>
    </row>
    <row r="50" spans="2:2" ht="75" x14ac:dyDescent="0.25">
      <c r="B50" s="125" t="s">
        <v>178</v>
      </c>
    </row>
  </sheetData>
  <phoneticPr fontId="2" type="noConversion"/>
  <pageMargins left="0.75" right="0.75" top="1" bottom="1" header="0.5" footer="0.5"/>
  <pageSetup orientation="portrait" r:id="rId1"/>
  <headerFooter alignWithMargins="0"/>
  <rowBreaks count="1" manualBreakCount="1">
    <brk id="50"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AY48"/>
  <sheetViews>
    <sheetView showGridLines="0" tabSelected="1" zoomScale="80" zoomScaleNormal="80" workbookViewId="0"/>
  </sheetViews>
  <sheetFormatPr defaultRowHeight="15" x14ac:dyDescent="0.25"/>
  <cols>
    <col min="1" max="1" width="5" style="6" customWidth="1"/>
    <col min="2" max="13" width="10" style="6" customWidth="1"/>
    <col min="14" max="14" width="8.7109375" style="6" customWidth="1"/>
    <col min="15" max="16" width="10.5703125" style="6" customWidth="1"/>
    <col min="17" max="17" width="11" style="6" customWidth="1"/>
    <col min="18" max="18" width="13.140625" style="6" customWidth="1"/>
    <col min="19" max="19" width="12.42578125" style="6" customWidth="1"/>
    <col min="20" max="20" width="10.7109375" style="6" customWidth="1"/>
    <col min="21" max="21" width="23.5703125" style="6" customWidth="1"/>
    <col min="22" max="25" width="8.7109375" style="6" customWidth="1"/>
    <col min="26" max="26" width="12.140625" style="6" bestFit="1" customWidth="1"/>
    <col min="27" max="27" width="9.42578125" style="7" customWidth="1"/>
    <col min="28" max="28" width="9.5703125" style="7" customWidth="1"/>
    <col min="29" max="30" width="8.7109375" style="7" customWidth="1"/>
    <col min="31" max="31" width="7.140625" style="7" customWidth="1"/>
    <col min="32" max="35" width="8.7109375" style="7" customWidth="1"/>
    <col min="36" max="36" width="14.28515625" style="7" bestFit="1" customWidth="1"/>
    <col min="37" max="39" width="8.7109375" style="7" customWidth="1"/>
    <col min="40" max="40" width="11.42578125" style="7" bestFit="1" customWidth="1"/>
    <col min="41" max="45" width="8.7109375" style="7" customWidth="1"/>
    <col min="46" max="46" width="10.5703125" style="7" bestFit="1" customWidth="1"/>
    <col min="47" max="47" width="11.140625" style="7" customWidth="1"/>
    <col min="48" max="48" width="6.5703125" style="7" customWidth="1"/>
    <col min="49" max="49" width="8.28515625" style="7" customWidth="1"/>
    <col min="50" max="50" width="6.5703125" style="7" customWidth="1"/>
    <col min="51" max="51" width="11.140625" style="7" customWidth="1"/>
    <col min="52" max="56" width="5.7109375" style="6" customWidth="1"/>
    <col min="57" max="16384" width="9.140625" style="6"/>
  </cols>
  <sheetData>
    <row r="1" spans="1:51" ht="22.5" x14ac:dyDescent="0.3">
      <c r="A1" s="25"/>
      <c r="B1" s="26" t="s">
        <v>141</v>
      </c>
      <c r="O1" s="34" t="s">
        <v>109</v>
      </c>
      <c r="P1" s="33"/>
      <c r="Q1" s="35">
        <v>110</v>
      </c>
      <c r="S1" s="122" t="s">
        <v>176</v>
      </c>
    </row>
    <row r="2" spans="1:51" x14ac:dyDescent="0.25">
      <c r="S2" s="146" t="s">
        <v>184</v>
      </c>
      <c r="T2" s="9"/>
      <c r="U2" s="9"/>
      <c r="AA2" s="10"/>
      <c r="AB2" s="10"/>
      <c r="AC2" s="10"/>
      <c r="AD2" s="10"/>
      <c r="AE2" s="10"/>
      <c r="AF2" s="10"/>
      <c r="AG2" s="10"/>
      <c r="AH2" s="10"/>
      <c r="AI2" s="10"/>
      <c r="AJ2" s="10"/>
      <c r="AK2" s="10"/>
      <c r="AL2" s="10"/>
      <c r="AM2" s="10"/>
      <c r="AN2" s="10"/>
      <c r="AO2" s="10"/>
      <c r="AP2" s="10"/>
      <c r="AQ2" s="10"/>
      <c r="AR2" s="10"/>
      <c r="AS2" s="10"/>
      <c r="AT2" s="10"/>
      <c r="AU2" s="10"/>
      <c r="AV2" s="10"/>
      <c r="AW2" s="10"/>
      <c r="AX2" s="10"/>
      <c r="AY2" s="10"/>
    </row>
    <row r="3" spans="1:51" ht="30.75" customHeight="1" x14ac:dyDescent="0.35">
      <c r="B3" s="121" t="s">
        <v>173</v>
      </c>
      <c r="O3" s="121" t="s">
        <v>174</v>
      </c>
      <c r="T3" s="9"/>
      <c r="U3" s="121" t="s">
        <v>175</v>
      </c>
      <c r="AA3" s="10"/>
      <c r="AB3" s="10"/>
      <c r="AC3" s="10"/>
      <c r="AD3" s="10"/>
      <c r="AE3" s="10"/>
      <c r="AF3" s="10"/>
      <c r="AG3" s="10"/>
      <c r="AH3" s="10"/>
      <c r="AI3" s="10"/>
      <c r="AJ3" s="10"/>
      <c r="AK3" s="10"/>
      <c r="AL3" s="10"/>
      <c r="AM3" s="10"/>
      <c r="AN3" s="10"/>
      <c r="AO3" s="10"/>
      <c r="AP3" s="10"/>
      <c r="AQ3" s="10"/>
      <c r="AR3" s="10"/>
      <c r="AS3" s="10"/>
      <c r="AT3" s="10"/>
      <c r="AU3" s="10"/>
      <c r="AV3" s="10"/>
      <c r="AW3" s="10"/>
      <c r="AX3" s="10"/>
      <c r="AY3" s="10"/>
    </row>
    <row r="4" spans="1:51" s="90" customFormat="1" ht="15.75" x14ac:dyDescent="0.25">
      <c r="B4" s="92"/>
      <c r="C4" s="93"/>
      <c r="D4" s="93"/>
      <c r="E4" s="93"/>
      <c r="F4" s="93" t="s">
        <v>0</v>
      </c>
      <c r="G4" s="93" t="s">
        <v>17</v>
      </c>
      <c r="H4" s="93"/>
      <c r="I4" s="93"/>
      <c r="J4" s="93"/>
      <c r="K4" s="93"/>
      <c r="L4" s="93"/>
      <c r="M4" s="91"/>
      <c r="O4" s="149"/>
      <c r="P4" s="150" t="s">
        <v>1</v>
      </c>
      <c r="Q4" s="151" t="s">
        <v>2</v>
      </c>
      <c r="R4" s="152"/>
      <c r="S4" s="149"/>
      <c r="T4" s="94"/>
      <c r="U4" s="157"/>
      <c r="V4" s="167" t="s">
        <v>16</v>
      </c>
      <c r="W4" s="168"/>
      <c r="X4" s="168"/>
      <c r="Y4" s="158" t="s">
        <v>17</v>
      </c>
      <c r="Z4" s="159" t="s">
        <v>79</v>
      </c>
      <c r="AA4" s="167" t="s">
        <v>18</v>
      </c>
      <c r="AB4" s="168"/>
      <c r="AC4" s="168"/>
      <c r="AD4" s="158"/>
      <c r="AE4" s="158" t="s">
        <v>82</v>
      </c>
      <c r="AF4" s="159" t="s">
        <v>80</v>
      </c>
      <c r="AG4" s="167" t="s">
        <v>20</v>
      </c>
      <c r="AH4" s="168"/>
      <c r="AI4" s="168"/>
      <c r="AJ4" s="158" t="s">
        <v>21</v>
      </c>
      <c r="AK4" s="158"/>
      <c r="AL4" s="160" t="s">
        <v>22</v>
      </c>
      <c r="AM4" s="167" t="s">
        <v>23</v>
      </c>
      <c r="AN4" s="168"/>
      <c r="AO4" s="168"/>
      <c r="AP4" s="159" t="s">
        <v>24</v>
      </c>
      <c r="AQ4" s="167" t="s">
        <v>25</v>
      </c>
      <c r="AR4" s="168"/>
      <c r="AS4" s="168"/>
      <c r="AT4" s="159" t="s">
        <v>26</v>
      </c>
    </row>
    <row r="5" spans="1:51" s="90" customFormat="1" ht="15.75" x14ac:dyDescent="0.25">
      <c r="B5" s="147" t="s">
        <v>3</v>
      </c>
      <c r="C5" s="169" t="s">
        <v>4</v>
      </c>
      <c r="D5" s="169"/>
      <c r="E5" s="169"/>
      <c r="F5" s="148" t="s">
        <v>3</v>
      </c>
      <c r="G5" s="148" t="s">
        <v>5</v>
      </c>
      <c r="H5" s="148" t="s">
        <v>6</v>
      </c>
      <c r="I5" s="148" t="s">
        <v>7</v>
      </c>
      <c r="J5" s="148" t="s">
        <v>8</v>
      </c>
      <c r="K5" s="148" t="s">
        <v>9</v>
      </c>
      <c r="L5" s="148" t="s">
        <v>10</v>
      </c>
      <c r="M5" s="95" t="s">
        <v>83</v>
      </c>
      <c r="O5" s="153" t="s">
        <v>11</v>
      </c>
      <c r="P5" s="154" t="s">
        <v>12</v>
      </c>
      <c r="Q5" s="155" t="s">
        <v>13</v>
      </c>
      <c r="R5" s="156" t="s">
        <v>14</v>
      </c>
      <c r="S5" s="153" t="s">
        <v>15</v>
      </c>
      <c r="T5" s="96"/>
      <c r="U5" s="161" t="s">
        <v>4</v>
      </c>
      <c r="V5" s="162" t="s">
        <v>29</v>
      </c>
      <c r="W5" s="163" t="s">
        <v>30</v>
      </c>
      <c r="X5" s="163" t="s">
        <v>31</v>
      </c>
      <c r="Y5" s="163" t="s">
        <v>5</v>
      </c>
      <c r="Z5" s="164" t="s">
        <v>5</v>
      </c>
      <c r="AA5" s="162" t="s">
        <v>29</v>
      </c>
      <c r="AB5" s="163" t="s">
        <v>30</v>
      </c>
      <c r="AC5" s="163" t="s">
        <v>31</v>
      </c>
      <c r="AD5" s="163" t="s">
        <v>81</v>
      </c>
      <c r="AE5" s="163" t="s">
        <v>5</v>
      </c>
      <c r="AF5" s="164" t="s">
        <v>5</v>
      </c>
      <c r="AG5" s="162" t="s">
        <v>29</v>
      </c>
      <c r="AH5" s="163" t="s">
        <v>30</v>
      </c>
      <c r="AI5" s="163" t="s">
        <v>31</v>
      </c>
      <c r="AJ5" s="163" t="s">
        <v>32</v>
      </c>
      <c r="AK5" s="163" t="s">
        <v>33</v>
      </c>
      <c r="AL5" s="164" t="s">
        <v>34</v>
      </c>
      <c r="AM5" s="162" t="s">
        <v>29</v>
      </c>
      <c r="AN5" s="163" t="s">
        <v>30</v>
      </c>
      <c r="AO5" s="163" t="s">
        <v>31</v>
      </c>
      <c r="AP5" s="164" t="s">
        <v>15</v>
      </c>
      <c r="AQ5" s="162" t="s">
        <v>29</v>
      </c>
      <c r="AR5" s="163" t="s">
        <v>30</v>
      </c>
      <c r="AS5" s="163" t="s">
        <v>31</v>
      </c>
      <c r="AT5" s="164" t="s">
        <v>15</v>
      </c>
    </row>
    <row r="6" spans="1:51" x14ac:dyDescent="0.25">
      <c r="B6" s="40" t="s">
        <v>27</v>
      </c>
      <c r="C6" s="9" t="s">
        <v>28</v>
      </c>
      <c r="D6" s="28"/>
      <c r="E6" s="28"/>
      <c r="F6" s="27"/>
      <c r="G6" s="143">
        <f t="shared" ref="G6:G22" si="0">(1+(Defects&gt;0))*SimCycleTime</f>
        <v>2</v>
      </c>
      <c r="H6" s="12">
        <f t="array" aca="1" ref="H6" ca="1">MAX(IF(ISERR(FIND($B$6:$B$22,F6)),0,$I$6:$I$22))</f>
        <v>0</v>
      </c>
      <c r="I6" s="12">
        <f t="shared" ref="I6:I22" ca="1" si="1">H6+G6</f>
        <v>2</v>
      </c>
      <c r="J6" s="12">
        <f t="shared" ref="J6:J22" ca="1" si="2">K6-G6</f>
        <v>0</v>
      </c>
      <c r="K6" s="12">
        <f t="array" aca="1" ref="K6" ca="1">MIN(IF(ISERR(FIND(B6,$F$6:$F$22)),MAX($I$6:$I$22),$J$6:$J$22))</f>
        <v>2</v>
      </c>
      <c r="L6" s="13">
        <f ca="1">K6-I6</f>
        <v>0</v>
      </c>
      <c r="M6" s="117">
        <f ca="1">IF(L6&gt;0.001,0,1)</f>
        <v>1</v>
      </c>
      <c r="O6" s="14">
        <v>0.625</v>
      </c>
      <c r="P6" s="15">
        <f t="shared" ref="P6:P22" si="3">IF(Iteration&lt;1,"",IF(CumDefects/Iteration&lt;0.000001,6.25,IF(CumDefects/Iteration&gt;0.9332,0,NORMSINV(1-CumDefects/Iteration)+1.5)))</f>
        <v>2.6975015825090893</v>
      </c>
      <c r="Q6" s="16">
        <f t="shared" ref="Q6:Q22" si="4">IF(Iteration&lt;1,"",IF(CumCycleTime&gt;0,CumVATime/CumCycleTime,0))</f>
        <v>1.825394141319181E-2</v>
      </c>
      <c r="R6" s="17">
        <f>IF(Iteration&lt;0,"",VLOOKUP(VLOOKUP(O6,'Other Tables'!TBLCriticalPath,2)+VLOOKUP(P6,'Other Tables'!TBLSigma,2)+VLOOKUP(Q6,'Other Tables'!TBLProcess,2),'Other Tables'!TBLSeverity,2))</f>
        <v>2</v>
      </c>
      <c r="S6" s="18">
        <f t="shared" ref="S6:S22" si="5">(1+(Defects&gt;0))*(CostFixed+SimCycleTime*CostVariable)</f>
        <v>200</v>
      </c>
      <c r="T6" s="19"/>
      <c r="U6" s="64" t="s">
        <v>28</v>
      </c>
      <c r="V6" s="78">
        <v>1</v>
      </c>
      <c r="W6" s="56">
        <v>2</v>
      </c>
      <c r="X6" s="56">
        <v>5</v>
      </c>
      <c r="Y6" s="113">
        <v>2</v>
      </c>
      <c r="Z6" s="79">
        <v>618.85778897992964</v>
      </c>
      <c r="AA6" s="82">
        <v>0.01</v>
      </c>
      <c r="AB6" s="58">
        <v>0.02</v>
      </c>
      <c r="AC6" s="58">
        <v>2.5000000000000001E-2</v>
      </c>
      <c r="AD6" s="77">
        <v>0.02</v>
      </c>
      <c r="AE6" s="56">
        <f t="shared" ref="AE6:AE22" si="6">ValueAddPct * SimCycleTime</f>
        <v>0.04</v>
      </c>
      <c r="AF6" s="83">
        <v>11.296593823137055</v>
      </c>
      <c r="AG6" s="82">
        <v>0</v>
      </c>
      <c r="AH6" s="58">
        <v>0.1</v>
      </c>
      <c r="AI6" s="58">
        <v>0.15</v>
      </c>
      <c r="AJ6" s="77">
        <v>0.1</v>
      </c>
      <c r="AK6" s="110">
        <v>0</v>
      </c>
      <c r="AL6" s="79">
        <v>26</v>
      </c>
      <c r="AM6" s="86">
        <v>75</v>
      </c>
      <c r="AN6" s="60">
        <v>100</v>
      </c>
      <c r="AO6" s="60">
        <v>150</v>
      </c>
      <c r="AP6" s="109">
        <v>100</v>
      </c>
      <c r="AQ6" s="88">
        <v>25</v>
      </c>
      <c r="AR6" s="62">
        <v>50</v>
      </c>
      <c r="AS6" s="62">
        <v>100</v>
      </c>
      <c r="AT6" s="108">
        <v>50</v>
      </c>
      <c r="AU6" s="6"/>
      <c r="AV6" s="6"/>
      <c r="AW6" s="6"/>
      <c r="AX6" s="6"/>
      <c r="AY6" s="6"/>
    </row>
    <row r="7" spans="1:51" x14ac:dyDescent="0.25">
      <c r="B7" s="45" t="s">
        <v>35</v>
      </c>
      <c r="C7" s="46" t="s">
        <v>36</v>
      </c>
      <c r="D7" s="46"/>
      <c r="E7" s="46"/>
      <c r="F7" s="47" t="s">
        <v>27</v>
      </c>
      <c r="G7" s="144">
        <f t="shared" si="0"/>
        <v>2</v>
      </c>
      <c r="H7" s="48">
        <f t="array" aca="1" ref="H7" ca="1">MAX(IF(ISERR(FIND($B$6:$B$22,F7)),0,$I$6:$I$22))</f>
        <v>2</v>
      </c>
      <c r="I7" s="48">
        <f t="shared" ca="1" si="1"/>
        <v>4</v>
      </c>
      <c r="J7" s="48">
        <f t="shared" ca="1" si="2"/>
        <v>3</v>
      </c>
      <c r="K7" s="48">
        <f t="array" aca="1" ref="K7" ca="1">MIN(IF(ISERR(FIND(B7,$F$6:$F$22)),MAX($I$6:$I$22),$J$6:$J$22))</f>
        <v>5</v>
      </c>
      <c r="L7" s="49">
        <f t="shared" ref="L7:L22" ca="1" si="7">K7-I7</f>
        <v>1</v>
      </c>
      <c r="M7" s="117">
        <f t="shared" ref="M7:M22" ca="1" si="8">IF(L7&gt;0.001,0,1)</f>
        <v>0</v>
      </c>
      <c r="O7" s="20">
        <v>0.4</v>
      </c>
      <c r="P7" s="15">
        <f t="shared" si="3"/>
        <v>3.0363831192316999</v>
      </c>
      <c r="Q7" s="16">
        <f t="shared" si="4"/>
        <v>9.9427957245381372E-5</v>
      </c>
      <c r="R7" s="17">
        <f>IF(Iteration&lt;0,"",VLOOKUP(VLOOKUP(O7,'Other Tables'!TBLCriticalPath,2)+VLOOKUP(P7,'Other Tables'!TBLSigma,2)+VLOOKUP(Q7,'Other Tables'!TBLProcess,2),'Other Tables'!TBLSeverity,2))</f>
        <v>1</v>
      </c>
      <c r="S7" s="21">
        <f t="shared" si="5"/>
        <v>200</v>
      </c>
      <c r="T7" s="10"/>
      <c r="U7" s="97" t="s">
        <v>36</v>
      </c>
      <c r="V7" s="98">
        <v>1</v>
      </c>
      <c r="W7" s="99">
        <v>2</v>
      </c>
      <c r="X7" s="99">
        <v>5</v>
      </c>
      <c r="Y7" s="113">
        <v>2</v>
      </c>
      <c r="Z7" s="100">
        <v>615.47606074814962</v>
      </c>
      <c r="AA7" s="101">
        <v>0</v>
      </c>
      <c r="AB7" s="102">
        <v>1E-4</v>
      </c>
      <c r="AC7" s="102">
        <v>2.0000000000000001E-4</v>
      </c>
      <c r="AD7" s="77">
        <v>1E-4</v>
      </c>
      <c r="AE7" s="99">
        <f t="shared" si="6"/>
        <v>2.0000000000000001E-4</v>
      </c>
      <c r="AF7" s="103">
        <v>6.1195527453622771E-2</v>
      </c>
      <c r="AG7" s="101">
        <v>0</v>
      </c>
      <c r="AH7" s="102">
        <v>0.05</v>
      </c>
      <c r="AI7" s="102">
        <v>7.4999999999999997E-2</v>
      </c>
      <c r="AJ7" s="77">
        <v>0.05</v>
      </c>
      <c r="AK7" s="110">
        <v>0</v>
      </c>
      <c r="AL7" s="103">
        <v>14</v>
      </c>
      <c r="AM7" s="104">
        <v>75</v>
      </c>
      <c r="AN7" s="105">
        <v>100</v>
      </c>
      <c r="AO7" s="105">
        <v>150</v>
      </c>
      <c r="AP7" s="109">
        <v>100</v>
      </c>
      <c r="AQ7" s="106">
        <v>40</v>
      </c>
      <c r="AR7" s="107">
        <v>50</v>
      </c>
      <c r="AS7" s="107">
        <v>60</v>
      </c>
      <c r="AT7" s="108">
        <v>50</v>
      </c>
      <c r="AU7" s="6"/>
      <c r="AV7" s="6"/>
      <c r="AW7" s="6"/>
      <c r="AX7" s="6"/>
      <c r="AY7" s="6"/>
    </row>
    <row r="8" spans="1:51" x14ac:dyDescent="0.25">
      <c r="B8" s="40" t="s">
        <v>37</v>
      </c>
      <c r="C8" s="9" t="s">
        <v>38</v>
      </c>
      <c r="D8" s="28"/>
      <c r="E8" s="28"/>
      <c r="F8" s="27" t="s">
        <v>27</v>
      </c>
      <c r="G8" s="143">
        <f t="shared" si="0"/>
        <v>3</v>
      </c>
      <c r="H8" s="12">
        <f t="array" aca="1" ref="H8" ca="1">MAX(IF(ISERR(FIND($B$6:$B$22,F8)),0,$I$6:$I$22))</f>
        <v>2</v>
      </c>
      <c r="I8" s="12">
        <f t="shared" ca="1" si="1"/>
        <v>5</v>
      </c>
      <c r="J8" s="12">
        <f t="shared" ca="1" si="2"/>
        <v>2</v>
      </c>
      <c r="K8" s="12">
        <f t="array" aca="1" ref="K8" ca="1">MIN(IF(ISERR(FIND(B8,$F$6:$F$22)),MAX($I$6:$I$22),$J$6:$J$22))</f>
        <v>5</v>
      </c>
      <c r="L8" s="13">
        <f t="shared" ca="1" si="7"/>
        <v>0</v>
      </c>
      <c r="M8" s="117">
        <f t="shared" ca="1" si="8"/>
        <v>1</v>
      </c>
      <c r="O8" s="20">
        <v>0.6</v>
      </c>
      <c r="P8" s="15">
        <f t="shared" si="3"/>
        <v>2.7206403488473505</v>
      </c>
      <c r="Q8" s="16">
        <f t="shared" si="4"/>
        <v>4.9888853884282623E-2</v>
      </c>
      <c r="R8" s="17">
        <f>IF(Iteration&lt;0,"",VLOOKUP(VLOOKUP(O8,'Other Tables'!TBLCriticalPath,2)+VLOOKUP(P8,'Other Tables'!TBLSigma,2)+VLOOKUP(Q8,'Other Tables'!TBLProcess,2),'Other Tables'!TBLSeverity,2))</f>
        <v>2</v>
      </c>
      <c r="S8" s="21">
        <f t="shared" si="5"/>
        <v>325</v>
      </c>
      <c r="T8" s="10"/>
      <c r="U8" s="64" t="s">
        <v>38</v>
      </c>
      <c r="V8" s="78">
        <v>1</v>
      </c>
      <c r="W8" s="56">
        <v>3</v>
      </c>
      <c r="X8" s="56">
        <v>5</v>
      </c>
      <c r="Y8" s="113">
        <v>3</v>
      </c>
      <c r="Z8" s="79">
        <v>675.6892563586639</v>
      </c>
      <c r="AA8" s="82">
        <v>2.5000000000000001E-2</v>
      </c>
      <c r="AB8" s="58">
        <v>0.05</v>
      </c>
      <c r="AC8" s="58">
        <v>7.4999999999999997E-2</v>
      </c>
      <c r="AD8" s="77">
        <v>0.05</v>
      </c>
      <c r="AE8" s="56">
        <f t="shared" si="6"/>
        <v>0.15000000000000002</v>
      </c>
      <c r="AF8" s="83">
        <v>33.709362581656968</v>
      </c>
      <c r="AG8" s="82">
        <v>7.4999999999999997E-2</v>
      </c>
      <c r="AH8" s="58">
        <v>0.1</v>
      </c>
      <c r="AI8" s="58">
        <v>0.15</v>
      </c>
      <c r="AJ8" s="77">
        <v>0.1</v>
      </c>
      <c r="AK8" s="110">
        <v>0</v>
      </c>
      <c r="AL8" s="83">
        <v>25</v>
      </c>
      <c r="AM8" s="86">
        <v>75</v>
      </c>
      <c r="AN8" s="60">
        <v>100</v>
      </c>
      <c r="AO8" s="60">
        <v>150</v>
      </c>
      <c r="AP8" s="109">
        <v>100</v>
      </c>
      <c r="AQ8" s="88">
        <v>25</v>
      </c>
      <c r="AR8" s="62">
        <v>75</v>
      </c>
      <c r="AS8" s="62">
        <v>100</v>
      </c>
      <c r="AT8" s="108">
        <v>75</v>
      </c>
      <c r="AU8" s="6"/>
      <c r="AV8" s="6"/>
      <c r="AW8" s="6"/>
      <c r="AX8" s="6"/>
      <c r="AY8" s="6"/>
    </row>
    <row r="9" spans="1:51" x14ac:dyDescent="0.25">
      <c r="B9" s="45" t="s">
        <v>39</v>
      </c>
      <c r="C9" s="46" t="s">
        <v>40</v>
      </c>
      <c r="D9" s="46"/>
      <c r="E9" s="46"/>
      <c r="F9" s="47" t="s">
        <v>84</v>
      </c>
      <c r="G9" s="144">
        <f t="shared" si="0"/>
        <v>5</v>
      </c>
      <c r="H9" s="48">
        <f t="array" aca="1" ref="H9" ca="1">MAX(IF(ISERR(FIND($B$6:$B$22,F9)),0,$I$6:$I$22))</f>
        <v>5</v>
      </c>
      <c r="I9" s="48">
        <f t="shared" ca="1" si="1"/>
        <v>10</v>
      </c>
      <c r="J9" s="48">
        <f t="shared" ca="1" si="2"/>
        <v>5</v>
      </c>
      <c r="K9" s="48">
        <f t="array" aca="1" ref="K9" ca="1">MIN(IF(ISERR(FIND(B9,$F$6:$F$22)),MAX($I$6:$I$22),$J$6:$J$22))</f>
        <v>10</v>
      </c>
      <c r="L9" s="49">
        <f t="shared" ca="1" si="7"/>
        <v>0</v>
      </c>
      <c r="M9" s="117">
        <f t="shared" ca="1" si="8"/>
        <v>1</v>
      </c>
      <c r="O9" s="20">
        <v>1</v>
      </c>
      <c r="P9" s="15">
        <f t="shared" si="3"/>
        <v>2.1640369430943549</v>
      </c>
      <c r="Q9" s="16">
        <f t="shared" si="4"/>
        <v>7.6196566959572887E-2</v>
      </c>
      <c r="R9" s="17">
        <f>IF(Iteration&lt;0,"",VLOOKUP(VLOOKUP(O9,'Other Tables'!TBLCriticalPath,2)+VLOOKUP(P9,'Other Tables'!TBLSigma,2)+VLOOKUP(Q9,'Other Tables'!TBLProcess,2),'Other Tables'!TBLSeverity,2))</f>
        <v>2</v>
      </c>
      <c r="S9" s="21">
        <f t="shared" si="5"/>
        <v>350</v>
      </c>
      <c r="T9" s="10"/>
      <c r="U9" s="97" t="s">
        <v>40</v>
      </c>
      <c r="V9" s="98">
        <v>2</v>
      </c>
      <c r="W9" s="99">
        <v>5</v>
      </c>
      <c r="X9" s="99">
        <v>10</v>
      </c>
      <c r="Y9" s="113">
        <v>5</v>
      </c>
      <c r="Z9" s="100">
        <v>1243.7612465023019</v>
      </c>
      <c r="AA9" s="101">
        <v>0.05</v>
      </c>
      <c r="AB9" s="102">
        <v>0.08</v>
      </c>
      <c r="AC9" s="102">
        <v>0.1</v>
      </c>
      <c r="AD9" s="77">
        <v>0.08</v>
      </c>
      <c r="AE9" s="99">
        <f t="shared" si="6"/>
        <v>0.4</v>
      </c>
      <c r="AF9" s="103">
        <v>94.770337100834482</v>
      </c>
      <c r="AG9" s="101">
        <v>0.15</v>
      </c>
      <c r="AH9" s="102">
        <v>0.25</v>
      </c>
      <c r="AI9" s="102">
        <v>0.3</v>
      </c>
      <c r="AJ9" s="77">
        <v>0.25</v>
      </c>
      <c r="AK9" s="110">
        <v>0</v>
      </c>
      <c r="AL9" s="103">
        <v>57</v>
      </c>
      <c r="AM9" s="104">
        <v>75</v>
      </c>
      <c r="AN9" s="105">
        <v>100</v>
      </c>
      <c r="AO9" s="105">
        <v>150</v>
      </c>
      <c r="AP9" s="109">
        <v>100</v>
      </c>
      <c r="AQ9" s="106">
        <v>40</v>
      </c>
      <c r="AR9" s="107">
        <v>50</v>
      </c>
      <c r="AS9" s="107">
        <v>55</v>
      </c>
      <c r="AT9" s="108">
        <v>50</v>
      </c>
      <c r="AU9" s="6"/>
      <c r="AV9" s="6"/>
      <c r="AW9" s="6"/>
      <c r="AX9" s="6"/>
      <c r="AY9" s="6"/>
    </row>
    <row r="10" spans="1:51" x14ac:dyDescent="0.25">
      <c r="B10" s="40" t="s">
        <v>41</v>
      </c>
      <c r="C10" s="9" t="s">
        <v>42</v>
      </c>
      <c r="D10" s="28"/>
      <c r="E10" s="28"/>
      <c r="F10" s="27" t="s">
        <v>39</v>
      </c>
      <c r="G10" s="143">
        <f t="shared" si="0"/>
        <v>5</v>
      </c>
      <c r="H10" s="12">
        <f t="array" aca="1" ref="H10" ca="1">MAX(IF(ISERR(FIND($B$6:$B$22,F10)),0,$I$6:$I$22))</f>
        <v>10</v>
      </c>
      <c r="I10" s="12">
        <f t="shared" ca="1" si="1"/>
        <v>15</v>
      </c>
      <c r="J10" s="12">
        <f t="shared" ca="1" si="2"/>
        <v>10</v>
      </c>
      <c r="K10" s="12">
        <f t="array" aca="1" ref="K10" ca="1">MIN(IF(ISERR(FIND(B10,$F$6:$F$22)),MAX($I$6:$I$22),$J$6:$J$22))</f>
        <v>15</v>
      </c>
      <c r="L10" s="13">
        <f t="shared" ca="1" si="7"/>
        <v>0</v>
      </c>
      <c r="M10" s="117">
        <f t="shared" ca="1" si="8"/>
        <v>1</v>
      </c>
      <c r="O10" s="20">
        <v>1</v>
      </c>
      <c r="P10" s="15">
        <f t="shared" si="3"/>
        <v>2.1502115900190826</v>
      </c>
      <c r="Q10" s="16">
        <f t="shared" si="4"/>
        <v>1.0231906974022072E-2</v>
      </c>
      <c r="R10" s="17">
        <f>IF(Iteration&lt;0,"",VLOOKUP(VLOOKUP(O10,'Other Tables'!TBLCriticalPath,2)+VLOOKUP(P10,'Other Tables'!TBLSigma,2)+VLOOKUP(Q10,'Other Tables'!TBLProcess,2),'Other Tables'!TBLSeverity,2))</f>
        <v>3</v>
      </c>
      <c r="S10" s="21">
        <f t="shared" si="5"/>
        <v>475</v>
      </c>
      <c r="T10" s="10"/>
      <c r="U10" s="64" t="s">
        <v>42</v>
      </c>
      <c r="V10" s="78">
        <v>1</v>
      </c>
      <c r="W10" s="56">
        <v>5</v>
      </c>
      <c r="X10" s="56">
        <v>10</v>
      </c>
      <c r="Y10" s="113">
        <v>5</v>
      </c>
      <c r="Z10" s="79">
        <v>1213.2747593247113</v>
      </c>
      <c r="AA10" s="82">
        <v>5.0000000000000001E-3</v>
      </c>
      <c r="AB10" s="58">
        <v>0.01</v>
      </c>
      <c r="AC10" s="58">
        <v>1.4999999999999999E-2</v>
      </c>
      <c r="AD10" s="77">
        <v>0.01</v>
      </c>
      <c r="AE10" s="56">
        <f t="shared" si="6"/>
        <v>0.05</v>
      </c>
      <c r="AF10" s="83">
        <v>12.414114471339465</v>
      </c>
      <c r="AG10" s="82">
        <v>0.15</v>
      </c>
      <c r="AH10" s="58">
        <v>0.2</v>
      </c>
      <c r="AI10" s="58">
        <v>0.5</v>
      </c>
      <c r="AJ10" s="77">
        <v>0.2</v>
      </c>
      <c r="AK10" s="110">
        <v>0</v>
      </c>
      <c r="AL10" s="83">
        <v>58</v>
      </c>
      <c r="AM10" s="86">
        <v>75</v>
      </c>
      <c r="AN10" s="60">
        <v>100</v>
      </c>
      <c r="AO10" s="60">
        <v>150</v>
      </c>
      <c r="AP10" s="109">
        <v>100</v>
      </c>
      <c r="AQ10" s="88">
        <v>50</v>
      </c>
      <c r="AR10" s="62">
        <v>75</v>
      </c>
      <c r="AS10" s="62">
        <v>80</v>
      </c>
      <c r="AT10" s="108">
        <v>75</v>
      </c>
      <c r="AU10" s="6"/>
      <c r="AV10" s="6"/>
      <c r="AW10" s="6"/>
      <c r="AX10" s="6"/>
      <c r="AY10" s="6"/>
    </row>
    <row r="11" spans="1:51" x14ac:dyDescent="0.25">
      <c r="B11" s="45" t="s">
        <v>43</v>
      </c>
      <c r="C11" s="46" t="s">
        <v>44</v>
      </c>
      <c r="D11" s="46"/>
      <c r="E11" s="46"/>
      <c r="F11" s="47" t="s">
        <v>41</v>
      </c>
      <c r="G11" s="144">
        <f t="shared" si="0"/>
        <v>10</v>
      </c>
      <c r="H11" s="48">
        <f t="array" aca="1" ref="H11" ca="1">MAX(IF(ISERR(FIND($B$6:$B$22,F11)),0,$I$6:$I$22))</f>
        <v>15</v>
      </c>
      <c r="I11" s="48">
        <f t="shared" ca="1" si="1"/>
        <v>25</v>
      </c>
      <c r="J11" s="48">
        <f t="shared" ca="1" si="2"/>
        <v>15</v>
      </c>
      <c r="K11" s="48">
        <f t="array" aca="1" ref="K11" ca="1">MIN(IF(ISERR(FIND(B11,$F$6:$F$22)),MAX($I$6:$I$22),$J$6:$J$22))</f>
        <v>25</v>
      </c>
      <c r="L11" s="49">
        <f t="shared" ca="1" si="7"/>
        <v>0</v>
      </c>
      <c r="M11" s="117">
        <f t="shared" ca="1" si="8"/>
        <v>1</v>
      </c>
      <c r="O11" s="20">
        <v>1</v>
      </c>
      <c r="P11" s="15">
        <f t="shared" si="3"/>
        <v>2.8476288775748864</v>
      </c>
      <c r="Q11" s="16">
        <f t="shared" si="4"/>
        <v>0.12422051231825734</v>
      </c>
      <c r="R11" s="17">
        <f>IF(Iteration&lt;0,"",VLOOKUP(VLOOKUP(O11,'Other Tables'!TBLCriticalPath,2)+VLOOKUP(P11,'Other Tables'!TBLSigma,2)+VLOOKUP(Q11,'Other Tables'!TBLProcess,2),'Other Tables'!TBLSeverity,2))</f>
        <v>2</v>
      </c>
      <c r="S11" s="21">
        <f t="shared" si="5"/>
        <v>850</v>
      </c>
      <c r="T11" s="10"/>
      <c r="U11" s="97" t="s">
        <v>44</v>
      </c>
      <c r="V11" s="98">
        <v>3</v>
      </c>
      <c r="W11" s="99">
        <v>10</v>
      </c>
      <c r="X11" s="99">
        <v>15</v>
      </c>
      <c r="Y11" s="113">
        <v>10</v>
      </c>
      <c r="Z11" s="100">
        <v>2067.8502498894941</v>
      </c>
      <c r="AA11" s="101">
        <v>7.4999999999999997E-2</v>
      </c>
      <c r="AB11" s="102">
        <v>0.1</v>
      </c>
      <c r="AC11" s="102">
        <v>0.2</v>
      </c>
      <c r="AD11" s="77">
        <v>0.1</v>
      </c>
      <c r="AE11" s="99">
        <f t="shared" si="6"/>
        <v>1</v>
      </c>
      <c r="AF11" s="103">
        <v>256.86941743870943</v>
      </c>
      <c r="AG11" s="101">
        <v>0.05</v>
      </c>
      <c r="AH11" s="102">
        <v>0.12</v>
      </c>
      <c r="AI11" s="102">
        <v>0.15</v>
      </c>
      <c r="AJ11" s="77">
        <v>0.12</v>
      </c>
      <c r="AK11" s="110">
        <v>0</v>
      </c>
      <c r="AL11" s="103">
        <v>20</v>
      </c>
      <c r="AM11" s="104">
        <v>75</v>
      </c>
      <c r="AN11" s="105">
        <v>100</v>
      </c>
      <c r="AO11" s="105">
        <v>150</v>
      </c>
      <c r="AP11" s="109">
        <v>100</v>
      </c>
      <c r="AQ11" s="106">
        <v>50</v>
      </c>
      <c r="AR11" s="107">
        <v>75</v>
      </c>
      <c r="AS11" s="107">
        <v>125</v>
      </c>
      <c r="AT11" s="108">
        <v>75</v>
      </c>
      <c r="AU11" s="6"/>
      <c r="AV11" s="6"/>
      <c r="AW11" s="6"/>
      <c r="AX11" s="6"/>
      <c r="AY11" s="6"/>
    </row>
    <row r="12" spans="1:51" x14ac:dyDescent="0.25">
      <c r="B12" s="40" t="s">
        <v>45</v>
      </c>
      <c r="C12" s="9" t="s">
        <v>47</v>
      </c>
      <c r="D12" s="28"/>
      <c r="E12" s="28"/>
      <c r="F12" s="27" t="s">
        <v>43</v>
      </c>
      <c r="G12" s="143">
        <f t="shared" si="0"/>
        <v>10</v>
      </c>
      <c r="H12" s="12">
        <f t="array" aca="1" ref="H12" ca="1">MAX(IF(ISERR(FIND($B$6:$B$22,F12)),0,$I$6:$I$22))</f>
        <v>25</v>
      </c>
      <c r="I12" s="12">
        <f t="shared" ca="1" si="1"/>
        <v>35</v>
      </c>
      <c r="J12" s="12">
        <f t="shared" ca="1" si="2"/>
        <v>30</v>
      </c>
      <c r="K12" s="12">
        <f t="array" aca="1" ref="K12" ca="1">MIN(IF(ISERR(FIND(B12,$F$6:$F$22)),MAX($I$6:$I$22),$J$6:$J$22))</f>
        <v>40</v>
      </c>
      <c r="L12" s="13">
        <f t="shared" ca="1" si="7"/>
        <v>5</v>
      </c>
      <c r="M12" s="117">
        <f t="shared" ca="1" si="8"/>
        <v>0</v>
      </c>
      <c r="O12" s="20">
        <v>0.26</v>
      </c>
      <c r="P12" s="15">
        <f t="shared" si="3"/>
        <v>2.4763543627596065</v>
      </c>
      <c r="Q12" s="16">
        <f t="shared" si="4"/>
        <v>1.5129176149157035E-2</v>
      </c>
      <c r="R12" s="17">
        <f>IF(Iteration&lt;0,"",VLOOKUP(VLOOKUP(O12,'Other Tables'!TBLCriticalPath,2)+VLOOKUP(P12,'Other Tables'!TBLSigma,2)+VLOOKUP(Q12,'Other Tables'!TBLProcess,2),'Other Tables'!TBLSeverity,2))</f>
        <v>1</v>
      </c>
      <c r="S12" s="21">
        <f t="shared" si="5"/>
        <v>450</v>
      </c>
      <c r="T12" s="10"/>
      <c r="U12" s="64" t="s">
        <v>47</v>
      </c>
      <c r="V12" s="78">
        <v>5</v>
      </c>
      <c r="W12" s="56">
        <v>10</v>
      </c>
      <c r="X12" s="56">
        <v>20</v>
      </c>
      <c r="Y12" s="113">
        <v>10</v>
      </c>
      <c r="Z12" s="79">
        <v>2568.0084024939028</v>
      </c>
      <c r="AA12" s="82">
        <v>0.01</v>
      </c>
      <c r="AB12" s="58">
        <v>1.4999999999999999E-2</v>
      </c>
      <c r="AC12" s="58">
        <v>0.02</v>
      </c>
      <c r="AD12" s="77">
        <v>1.4999999999999999E-2</v>
      </c>
      <c r="AE12" s="56">
        <f t="shared" si="6"/>
        <v>0.15</v>
      </c>
      <c r="AF12" s="83">
        <v>38.851851473845613</v>
      </c>
      <c r="AG12" s="82">
        <v>0.05</v>
      </c>
      <c r="AH12" s="58">
        <v>0.1</v>
      </c>
      <c r="AI12" s="58">
        <v>0.2</v>
      </c>
      <c r="AJ12" s="77">
        <v>0.02</v>
      </c>
      <c r="AK12" s="110">
        <v>0</v>
      </c>
      <c r="AL12" s="83">
        <v>37</v>
      </c>
      <c r="AM12" s="86">
        <v>75</v>
      </c>
      <c r="AN12" s="60">
        <v>100</v>
      </c>
      <c r="AO12" s="60">
        <v>150</v>
      </c>
      <c r="AP12" s="109">
        <v>100</v>
      </c>
      <c r="AQ12" s="88">
        <v>25</v>
      </c>
      <c r="AR12" s="62">
        <v>35</v>
      </c>
      <c r="AS12" s="62">
        <v>45</v>
      </c>
      <c r="AT12" s="108">
        <v>35</v>
      </c>
      <c r="AU12" s="6"/>
      <c r="AV12" s="6"/>
      <c r="AW12" s="6"/>
      <c r="AX12" s="6"/>
      <c r="AY12" s="6"/>
    </row>
    <row r="13" spans="1:51" x14ac:dyDescent="0.25">
      <c r="B13" s="45" t="s">
        <v>46</v>
      </c>
      <c r="C13" s="46" t="s">
        <v>49</v>
      </c>
      <c r="D13" s="46"/>
      <c r="E13" s="46"/>
      <c r="F13" s="47" t="s">
        <v>43</v>
      </c>
      <c r="G13" s="144">
        <f t="shared" si="0"/>
        <v>10</v>
      </c>
      <c r="H13" s="48">
        <f t="array" aca="1" ref="H13" ca="1">MAX(IF(ISERR(FIND($B$6:$B$22,F13)),0,$I$6:$I$22))</f>
        <v>25</v>
      </c>
      <c r="I13" s="48">
        <f t="shared" ca="1" si="1"/>
        <v>35</v>
      </c>
      <c r="J13" s="48">
        <f t="shared" ca="1" si="2"/>
        <v>25</v>
      </c>
      <c r="K13" s="48">
        <f t="array" aca="1" ref="K13" ca="1">MIN(IF(ISERR(FIND(B13,$F$6:$F$22)),MAX($I$6:$I$22),$J$6:$J$22))</f>
        <v>35</v>
      </c>
      <c r="L13" s="49">
        <f t="shared" ca="1" si="7"/>
        <v>0</v>
      </c>
      <c r="M13" s="117">
        <f t="shared" ca="1" si="8"/>
        <v>1</v>
      </c>
      <c r="O13" s="20">
        <v>0.74</v>
      </c>
      <c r="P13" s="15">
        <f t="shared" si="3"/>
        <v>2.7206403488473505</v>
      </c>
      <c r="Q13" s="16">
        <f t="shared" si="4"/>
        <v>1.5015504416780425E-2</v>
      </c>
      <c r="R13" s="17">
        <f>IF(Iteration&lt;0,"",VLOOKUP(VLOOKUP(O13,'Other Tables'!TBLCriticalPath,2)+VLOOKUP(P13,'Other Tables'!TBLSigma,2)+VLOOKUP(Q13,'Other Tables'!TBLProcess,2),'Other Tables'!TBLSeverity,2))</f>
        <v>2</v>
      </c>
      <c r="S13" s="21">
        <f t="shared" si="5"/>
        <v>450</v>
      </c>
      <c r="T13" s="10"/>
      <c r="U13" s="97" t="s">
        <v>49</v>
      </c>
      <c r="V13" s="98">
        <v>5</v>
      </c>
      <c r="W13" s="99">
        <v>10</v>
      </c>
      <c r="X13" s="99">
        <v>15</v>
      </c>
      <c r="Y13" s="113">
        <v>10</v>
      </c>
      <c r="Z13" s="100">
        <v>2230.7672352149852</v>
      </c>
      <c r="AA13" s="101">
        <v>0.01</v>
      </c>
      <c r="AB13" s="102">
        <v>1.4999999999999999E-2</v>
      </c>
      <c r="AC13" s="102">
        <v>0.02</v>
      </c>
      <c r="AD13" s="77">
        <v>1.4999999999999999E-2</v>
      </c>
      <c r="AE13" s="99">
        <f t="shared" si="6"/>
        <v>0.15</v>
      </c>
      <c r="AF13" s="103">
        <v>33.49609527317967</v>
      </c>
      <c r="AG13" s="101">
        <v>0.05</v>
      </c>
      <c r="AH13" s="102">
        <v>0.1</v>
      </c>
      <c r="AI13" s="102">
        <v>0.15</v>
      </c>
      <c r="AJ13" s="77">
        <v>0.02</v>
      </c>
      <c r="AK13" s="110">
        <v>0</v>
      </c>
      <c r="AL13" s="103">
        <v>25</v>
      </c>
      <c r="AM13" s="104">
        <v>75</v>
      </c>
      <c r="AN13" s="105">
        <v>100</v>
      </c>
      <c r="AO13" s="105">
        <v>200</v>
      </c>
      <c r="AP13" s="109">
        <v>100</v>
      </c>
      <c r="AQ13" s="106">
        <v>25</v>
      </c>
      <c r="AR13" s="107">
        <v>35</v>
      </c>
      <c r="AS13" s="107">
        <v>40</v>
      </c>
      <c r="AT13" s="108">
        <v>35</v>
      </c>
      <c r="AU13" s="6"/>
      <c r="AV13" s="6"/>
      <c r="AW13" s="6"/>
      <c r="AX13" s="6"/>
      <c r="AY13" s="6"/>
    </row>
    <row r="14" spans="1:51" x14ac:dyDescent="0.25">
      <c r="B14" s="40" t="s">
        <v>48</v>
      </c>
      <c r="C14" s="9" t="s">
        <v>51</v>
      </c>
      <c r="D14" s="28"/>
      <c r="E14" s="28"/>
      <c r="F14" s="27" t="s">
        <v>46</v>
      </c>
      <c r="G14" s="143">
        <f t="shared" si="0"/>
        <v>2</v>
      </c>
      <c r="H14" s="12">
        <f t="array" aca="1" ref="H14" ca="1">MAX(IF(ISERR(FIND($B$6:$B$22,F14)),0,$I$6:$I$22))</f>
        <v>35</v>
      </c>
      <c r="I14" s="12">
        <f t="shared" ca="1" si="1"/>
        <v>37</v>
      </c>
      <c r="J14" s="12">
        <f t="shared" ca="1" si="2"/>
        <v>38</v>
      </c>
      <c r="K14" s="12">
        <f t="array" aca="1" ref="K14" ca="1">MIN(IF(ISERR(FIND(B14,$F$6:$F$22)),MAX($I$6:$I$22),$J$6:$J$22))</f>
        <v>40</v>
      </c>
      <c r="L14" s="13">
        <f t="shared" ca="1" si="7"/>
        <v>3</v>
      </c>
      <c r="M14" s="117">
        <f t="shared" ca="1" si="8"/>
        <v>0</v>
      </c>
      <c r="O14" s="20">
        <v>0.05</v>
      </c>
      <c r="P14" s="15">
        <f t="shared" si="3"/>
        <v>2.6749867920660906</v>
      </c>
      <c r="Q14" s="16">
        <f t="shared" si="4"/>
        <v>2.0070437370445428E-2</v>
      </c>
      <c r="R14" s="17">
        <f>IF(Iteration&lt;0,"",VLOOKUP(VLOOKUP(O14,'Other Tables'!TBLCriticalPath,2)+VLOOKUP(P14,'Other Tables'!TBLSigma,2)+VLOOKUP(Q14,'Other Tables'!TBLProcess,2),'Other Tables'!TBLSeverity,2))</f>
        <v>1</v>
      </c>
      <c r="S14" s="21">
        <f t="shared" si="5"/>
        <v>170</v>
      </c>
      <c r="T14" s="10"/>
      <c r="U14" s="64" t="s">
        <v>51</v>
      </c>
      <c r="V14" s="78">
        <v>1</v>
      </c>
      <c r="W14" s="56">
        <v>2</v>
      </c>
      <c r="X14" s="56">
        <v>5</v>
      </c>
      <c r="Y14" s="113">
        <v>2</v>
      </c>
      <c r="Z14" s="79">
        <v>597.56789407582892</v>
      </c>
      <c r="AA14" s="82">
        <v>1.4999999999999999E-2</v>
      </c>
      <c r="AB14" s="58">
        <v>0.02</v>
      </c>
      <c r="AC14" s="58">
        <v>2.5000000000000001E-2</v>
      </c>
      <c r="AD14" s="77">
        <v>0.02</v>
      </c>
      <c r="AE14" s="56">
        <f t="shared" si="6"/>
        <v>0.04</v>
      </c>
      <c r="AF14" s="83">
        <v>11.993448992637891</v>
      </c>
      <c r="AG14" s="82">
        <v>0.05</v>
      </c>
      <c r="AH14" s="58">
        <v>0.1</v>
      </c>
      <c r="AI14" s="58">
        <v>0.25</v>
      </c>
      <c r="AJ14" s="77">
        <v>0.1</v>
      </c>
      <c r="AK14" s="110">
        <v>0</v>
      </c>
      <c r="AL14" s="83">
        <v>27</v>
      </c>
      <c r="AM14" s="86">
        <v>75</v>
      </c>
      <c r="AN14" s="60">
        <v>100</v>
      </c>
      <c r="AO14" s="60">
        <v>150</v>
      </c>
      <c r="AP14" s="109">
        <v>100</v>
      </c>
      <c r="AQ14" s="88">
        <v>25</v>
      </c>
      <c r="AR14" s="62">
        <v>35</v>
      </c>
      <c r="AS14" s="62">
        <v>40</v>
      </c>
      <c r="AT14" s="108">
        <v>35</v>
      </c>
      <c r="AU14" s="6"/>
      <c r="AV14" s="6"/>
      <c r="AW14" s="6"/>
      <c r="AX14" s="6"/>
      <c r="AY14" s="6"/>
    </row>
    <row r="15" spans="1:51" x14ac:dyDescent="0.25">
      <c r="B15" s="45" t="s">
        <v>50</v>
      </c>
      <c r="C15" s="46" t="s">
        <v>53</v>
      </c>
      <c r="D15" s="46"/>
      <c r="E15" s="46"/>
      <c r="F15" s="47" t="s">
        <v>46</v>
      </c>
      <c r="G15" s="144">
        <f t="shared" si="0"/>
        <v>3</v>
      </c>
      <c r="H15" s="48">
        <f t="array" aca="1" ref="H15" ca="1">MAX(IF(ISERR(FIND($B$6:$B$22,F15)),0,$I$6:$I$22))</f>
        <v>35</v>
      </c>
      <c r="I15" s="48">
        <f t="shared" ca="1" si="1"/>
        <v>38</v>
      </c>
      <c r="J15" s="48">
        <f t="shared" ca="1" si="2"/>
        <v>35</v>
      </c>
      <c r="K15" s="48">
        <f t="array" aca="1" ref="K15" ca="1">MIN(IF(ISERR(FIND(B15,$F$6:$F$22)),MAX($I$6:$I$22),$J$6:$J$22))</f>
        <v>38</v>
      </c>
      <c r="L15" s="49">
        <f t="shared" ca="1" si="7"/>
        <v>0</v>
      </c>
      <c r="M15" s="117">
        <f t="shared" ca="1" si="8"/>
        <v>1</v>
      </c>
      <c r="O15" s="20">
        <v>0.69</v>
      </c>
      <c r="P15" s="15">
        <f t="shared" si="3"/>
        <v>2.4238670207443116</v>
      </c>
      <c r="Q15" s="16">
        <f t="shared" si="4"/>
        <v>2.0482364456685088E-2</v>
      </c>
      <c r="R15" s="17">
        <f>IF(Iteration&lt;0,"",VLOOKUP(VLOOKUP(O15,'Other Tables'!TBLCriticalPath,2)+VLOOKUP(P15,'Other Tables'!TBLSigma,2)+VLOOKUP(Q15,'Other Tables'!TBLProcess,2),'Other Tables'!TBLSeverity,2))</f>
        <v>2</v>
      </c>
      <c r="S15" s="21">
        <f t="shared" si="5"/>
        <v>205</v>
      </c>
      <c r="T15" s="10"/>
      <c r="U15" s="97" t="s">
        <v>53</v>
      </c>
      <c r="V15" s="98">
        <v>2</v>
      </c>
      <c r="W15" s="99">
        <v>3</v>
      </c>
      <c r="X15" s="99">
        <v>5</v>
      </c>
      <c r="Y15" s="113">
        <v>3</v>
      </c>
      <c r="Z15" s="100">
        <v>741.88751366087138</v>
      </c>
      <c r="AA15" s="101">
        <v>1.4999999999999999E-2</v>
      </c>
      <c r="AB15" s="102">
        <v>0.02</v>
      </c>
      <c r="AC15" s="102">
        <v>2.5000000000000001E-2</v>
      </c>
      <c r="AD15" s="77">
        <v>0.02</v>
      </c>
      <c r="AE15" s="99">
        <f t="shared" si="6"/>
        <v>0.06</v>
      </c>
      <c r="AF15" s="103">
        <v>15.195610440665906</v>
      </c>
      <c r="AG15" s="101">
        <v>0.05</v>
      </c>
      <c r="AH15" s="102">
        <v>0.15</v>
      </c>
      <c r="AI15" s="102">
        <v>0.25</v>
      </c>
      <c r="AJ15" s="77">
        <v>0.15</v>
      </c>
      <c r="AK15" s="110">
        <v>0</v>
      </c>
      <c r="AL15" s="103">
        <v>40</v>
      </c>
      <c r="AM15" s="104">
        <v>75</v>
      </c>
      <c r="AN15" s="105">
        <v>100</v>
      </c>
      <c r="AO15" s="105">
        <v>150</v>
      </c>
      <c r="AP15" s="109">
        <v>100</v>
      </c>
      <c r="AQ15" s="106">
        <v>25</v>
      </c>
      <c r="AR15" s="107">
        <v>35</v>
      </c>
      <c r="AS15" s="107">
        <v>45</v>
      </c>
      <c r="AT15" s="108">
        <v>35</v>
      </c>
      <c r="AU15" s="6"/>
      <c r="AV15" s="6"/>
      <c r="AW15" s="6"/>
      <c r="AX15" s="6"/>
      <c r="AY15" s="6"/>
    </row>
    <row r="16" spans="1:51" x14ac:dyDescent="0.25">
      <c r="B16" s="40" t="s">
        <v>52</v>
      </c>
      <c r="C16" s="9" t="s">
        <v>55</v>
      </c>
      <c r="D16" s="28"/>
      <c r="E16" s="28"/>
      <c r="F16" s="27" t="s">
        <v>50</v>
      </c>
      <c r="G16" s="143">
        <f t="shared" si="0"/>
        <v>2</v>
      </c>
      <c r="H16" s="12">
        <f t="array" aca="1" ref="H16" ca="1">MAX(IF(ISERR(FIND($B$6:$B$22,F16)),0,$I$6:$I$22))</f>
        <v>38</v>
      </c>
      <c r="I16" s="12">
        <f t="shared" ca="1" si="1"/>
        <v>40</v>
      </c>
      <c r="J16" s="12">
        <f t="shared" ca="1" si="2"/>
        <v>38</v>
      </c>
      <c r="K16" s="12">
        <f t="array" aca="1" ref="K16" ca="1">MIN(IF(ISERR(FIND(B16,$F$6:$F$22)),MAX($I$6:$I$22),$J$6:$J$22))</f>
        <v>40</v>
      </c>
      <c r="L16" s="13">
        <f t="shared" ca="1" si="7"/>
        <v>0</v>
      </c>
      <c r="M16" s="117">
        <f t="shared" ca="1" si="8"/>
        <v>1</v>
      </c>
      <c r="O16" s="20">
        <v>0.69</v>
      </c>
      <c r="P16" s="15">
        <f t="shared" si="3"/>
        <v>2.8205044038672802</v>
      </c>
      <c r="Q16" s="16">
        <f t="shared" si="4"/>
        <v>8.9024281917417566E-3</v>
      </c>
      <c r="R16" s="17">
        <f>IF(Iteration&lt;0,"",VLOOKUP(VLOOKUP(O16,'Other Tables'!TBLCriticalPath,2)+VLOOKUP(P16,'Other Tables'!TBLSigma,2)+VLOOKUP(Q16,'Other Tables'!TBLProcess,2),'Other Tables'!TBLSeverity,2))</f>
        <v>2</v>
      </c>
      <c r="S16" s="21">
        <f t="shared" si="5"/>
        <v>170</v>
      </c>
      <c r="T16" s="10"/>
      <c r="U16" s="64" t="s">
        <v>55</v>
      </c>
      <c r="V16" s="78">
        <v>0.5</v>
      </c>
      <c r="W16" s="56">
        <v>2</v>
      </c>
      <c r="X16" s="56">
        <v>3</v>
      </c>
      <c r="Y16" s="113">
        <v>2</v>
      </c>
      <c r="Z16" s="79">
        <v>414.62230323365031</v>
      </c>
      <c r="AA16" s="82">
        <v>5.0000000000000001E-3</v>
      </c>
      <c r="AB16" s="58">
        <v>0.01</v>
      </c>
      <c r="AC16" s="58">
        <v>1.2E-2</v>
      </c>
      <c r="AD16" s="77">
        <v>0.01</v>
      </c>
      <c r="AE16" s="56">
        <f t="shared" si="6"/>
        <v>0.02</v>
      </c>
      <c r="AF16" s="83">
        <v>3.6911452812321479</v>
      </c>
      <c r="AG16" s="82">
        <v>0.06</v>
      </c>
      <c r="AH16" s="58">
        <v>0.08</v>
      </c>
      <c r="AI16" s="58">
        <v>0.1</v>
      </c>
      <c r="AJ16" s="77">
        <v>0.08</v>
      </c>
      <c r="AK16" s="110">
        <v>0</v>
      </c>
      <c r="AL16" s="83">
        <v>21</v>
      </c>
      <c r="AM16" s="86">
        <v>75</v>
      </c>
      <c r="AN16" s="60">
        <v>100</v>
      </c>
      <c r="AO16" s="60">
        <v>150</v>
      </c>
      <c r="AP16" s="109">
        <v>100</v>
      </c>
      <c r="AQ16" s="88">
        <v>25</v>
      </c>
      <c r="AR16" s="62">
        <v>35</v>
      </c>
      <c r="AS16" s="62">
        <v>40</v>
      </c>
      <c r="AT16" s="108">
        <v>35</v>
      </c>
      <c r="AU16" s="6"/>
      <c r="AV16" s="6"/>
      <c r="AW16" s="6"/>
      <c r="AX16" s="6"/>
      <c r="AY16" s="6"/>
    </row>
    <row r="17" spans="2:51" x14ac:dyDescent="0.25">
      <c r="B17" s="45" t="s">
        <v>54</v>
      </c>
      <c r="C17" s="46" t="s">
        <v>57</v>
      </c>
      <c r="D17" s="46"/>
      <c r="E17" s="46"/>
      <c r="F17" s="47" t="s">
        <v>92</v>
      </c>
      <c r="G17" s="144">
        <f t="shared" si="0"/>
        <v>2</v>
      </c>
      <c r="H17" s="48">
        <f t="array" aca="1" ref="H17" ca="1">MAX(IF(ISERR(FIND($B$6:$B$22,F17)),0,$I$6:$I$22))</f>
        <v>40</v>
      </c>
      <c r="I17" s="48">
        <f t="shared" ca="1" si="1"/>
        <v>42</v>
      </c>
      <c r="J17" s="48">
        <f t="shared" ca="1" si="2"/>
        <v>40</v>
      </c>
      <c r="K17" s="48">
        <f t="array" aca="1" ref="K17" ca="1">MIN(IF(ISERR(FIND(B17,$F$6:$F$22)),MAX($I$6:$I$22),$J$6:$J$22))</f>
        <v>42</v>
      </c>
      <c r="L17" s="49">
        <f t="shared" ca="1" si="7"/>
        <v>0</v>
      </c>
      <c r="M17" s="117">
        <f t="shared" ca="1" si="8"/>
        <v>1</v>
      </c>
      <c r="O17" s="20">
        <v>0.74</v>
      </c>
      <c r="P17" s="15">
        <f t="shared" si="3"/>
        <v>3.3647088740848581</v>
      </c>
      <c r="Q17" s="16">
        <f t="shared" si="4"/>
        <v>1.0049617915660605E-2</v>
      </c>
      <c r="R17" s="17">
        <f>IF(Iteration&lt;0,"",VLOOKUP(VLOOKUP(O17,'Other Tables'!TBLCriticalPath,2)+VLOOKUP(P17,'Other Tables'!TBLSigma,2)+VLOOKUP(Q17,'Other Tables'!TBLProcess,2),'Other Tables'!TBLSeverity,2))</f>
        <v>1</v>
      </c>
      <c r="S17" s="21">
        <f t="shared" si="5"/>
        <v>170</v>
      </c>
      <c r="T17" s="10"/>
      <c r="U17" s="97" t="s">
        <v>57</v>
      </c>
      <c r="V17" s="98">
        <v>1</v>
      </c>
      <c r="W17" s="99">
        <v>2</v>
      </c>
      <c r="X17" s="99">
        <v>3</v>
      </c>
      <c r="Y17" s="113">
        <v>2</v>
      </c>
      <c r="Z17" s="100">
        <v>456.48671338266115</v>
      </c>
      <c r="AA17" s="101">
        <v>5.0000000000000001E-3</v>
      </c>
      <c r="AB17" s="102">
        <v>0.01</v>
      </c>
      <c r="AC17" s="102">
        <v>1.4999999999999999E-2</v>
      </c>
      <c r="AD17" s="77">
        <v>0.01</v>
      </c>
      <c r="AE17" s="99">
        <f t="shared" si="6"/>
        <v>0.02</v>
      </c>
      <c r="AF17" s="103">
        <v>4.5875170530714193</v>
      </c>
      <c r="AG17" s="101">
        <v>0.02</v>
      </c>
      <c r="AH17" s="102">
        <v>0.04</v>
      </c>
      <c r="AI17" s="102">
        <v>0.06</v>
      </c>
      <c r="AJ17" s="77">
        <v>0.04</v>
      </c>
      <c r="AK17" s="110">
        <v>0</v>
      </c>
      <c r="AL17" s="103">
        <v>7</v>
      </c>
      <c r="AM17" s="104">
        <v>75</v>
      </c>
      <c r="AN17" s="105">
        <v>100</v>
      </c>
      <c r="AO17" s="105">
        <v>150</v>
      </c>
      <c r="AP17" s="109">
        <v>100</v>
      </c>
      <c r="AQ17" s="106">
        <v>25</v>
      </c>
      <c r="AR17" s="107">
        <v>35</v>
      </c>
      <c r="AS17" s="107">
        <v>40</v>
      </c>
      <c r="AT17" s="108">
        <v>35</v>
      </c>
      <c r="AU17" s="6"/>
      <c r="AV17" s="6"/>
      <c r="AW17" s="6"/>
      <c r="AX17" s="6"/>
      <c r="AY17" s="6"/>
    </row>
    <row r="18" spans="2:51" x14ac:dyDescent="0.25">
      <c r="B18" s="40" t="s">
        <v>56</v>
      </c>
      <c r="C18" s="9" t="s">
        <v>59</v>
      </c>
      <c r="D18" s="28"/>
      <c r="E18" s="28"/>
      <c r="F18" s="27" t="s">
        <v>45</v>
      </c>
      <c r="G18" s="143">
        <f t="shared" si="0"/>
        <v>2</v>
      </c>
      <c r="H18" s="12">
        <f t="array" aca="1" ref="H18" ca="1">MAX(IF(ISERR(FIND($B$6:$B$22,F18)),0,$I$6:$I$22))</f>
        <v>35</v>
      </c>
      <c r="I18" s="12">
        <f t="shared" ca="1" si="1"/>
        <v>37</v>
      </c>
      <c r="J18" s="12">
        <f t="shared" ca="1" si="2"/>
        <v>40</v>
      </c>
      <c r="K18" s="12">
        <f t="array" aca="1" ref="K18" ca="1">MIN(IF(ISERR(FIND(B18,$F$6:$F$22)),MAX($I$6:$I$22),$J$6:$J$22))</f>
        <v>42</v>
      </c>
      <c r="L18" s="13">
        <f t="shared" ca="1" si="7"/>
        <v>5</v>
      </c>
      <c r="M18" s="117">
        <f t="shared" ca="1" si="8"/>
        <v>0</v>
      </c>
      <c r="O18" s="20">
        <v>0.26</v>
      </c>
      <c r="P18" s="15">
        <f t="shared" si="3"/>
        <v>3.3047672508880135</v>
      </c>
      <c r="Q18" s="16">
        <f t="shared" si="4"/>
        <v>9.1421363993435395E-3</v>
      </c>
      <c r="R18" s="17">
        <f>IF(Iteration&lt;0,"",VLOOKUP(VLOOKUP(O18,'Other Tables'!TBLCriticalPath,2)+VLOOKUP(P18,'Other Tables'!TBLSigma,2)+VLOOKUP(Q18,'Other Tables'!TBLProcess,2),'Other Tables'!TBLSeverity,2))</f>
        <v>1</v>
      </c>
      <c r="S18" s="21">
        <f t="shared" si="5"/>
        <v>170</v>
      </c>
      <c r="T18" s="10"/>
      <c r="U18" s="64" t="s">
        <v>59</v>
      </c>
      <c r="V18" s="78">
        <v>1</v>
      </c>
      <c r="W18" s="56">
        <v>2</v>
      </c>
      <c r="X18" s="56">
        <v>4</v>
      </c>
      <c r="Y18" s="113">
        <v>2</v>
      </c>
      <c r="Z18" s="79">
        <v>516.62465884438234</v>
      </c>
      <c r="AA18" s="82">
        <v>5.0000000000000001E-3</v>
      </c>
      <c r="AB18" s="58">
        <v>0.01</v>
      </c>
      <c r="AC18" s="58">
        <v>1.2E-2</v>
      </c>
      <c r="AD18" s="77">
        <v>0.01</v>
      </c>
      <c r="AE18" s="56">
        <f t="shared" si="6"/>
        <v>0.02</v>
      </c>
      <c r="AF18" s="83">
        <v>4.7230530984196664</v>
      </c>
      <c r="AG18" s="82">
        <v>2.5000000000000001E-2</v>
      </c>
      <c r="AH18" s="58">
        <v>0.05</v>
      </c>
      <c r="AI18" s="58">
        <v>7.4999999999999997E-2</v>
      </c>
      <c r="AJ18" s="77">
        <v>0.05</v>
      </c>
      <c r="AK18" s="110">
        <v>0</v>
      </c>
      <c r="AL18" s="83">
        <v>8</v>
      </c>
      <c r="AM18" s="86">
        <v>75</v>
      </c>
      <c r="AN18" s="60">
        <v>100</v>
      </c>
      <c r="AO18" s="60">
        <v>200</v>
      </c>
      <c r="AP18" s="109">
        <v>100</v>
      </c>
      <c r="AQ18" s="88">
        <v>25</v>
      </c>
      <c r="AR18" s="62">
        <v>35</v>
      </c>
      <c r="AS18" s="62">
        <v>45</v>
      </c>
      <c r="AT18" s="108">
        <v>35</v>
      </c>
      <c r="AU18" s="6"/>
      <c r="AV18" s="6"/>
      <c r="AW18" s="6"/>
      <c r="AX18" s="6"/>
      <c r="AY18" s="6"/>
    </row>
    <row r="19" spans="2:51" x14ac:dyDescent="0.25">
      <c r="B19" s="45" t="s">
        <v>58</v>
      </c>
      <c r="C19" s="46" t="s">
        <v>61</v>
      </c>
      <c r="D19" s="46"/>
      <c r="E19" s="46"/>
      <c r="F19" s="47" t="s">
        <v>87</v>
      </c>
      <c r="G19" s="144">
        <f t="shared" si="0"/>
        <v>4</v>
      </c>
      <c r="H19" s="48">
        <f t="array" aca="1" ref="H19" ca="1">MAX(IF(ISERR(FIND($B$6:$B$22,F19)),0,$I$6:$I$22))</f>
        <v>42</v>
      </c>
      <c r="I19" s="48">
        <f t="shared" ca="1" si="1"/>
        <v>46</v>
      </c>
      <c r="J19" s="48">
        <f t="shared" ca="1" si="2"/>
        <v>42</v>
      </c>
      <c r="K19" s="48">
        <f t="array" aca="1" ref="K19" ca="1">MIN(IF(ISERR(FIND(B19,$F$6:$F$22)),MAX($I$6:$I$22),$J$6:$J$22))</f>
        <v>46</v>
      </c>
      <c r="L19" s="49">
        <f t="shared" ca="1" si="7"/>
        <v>0</v>
      </c>
      <c r="M19" s="117">
        <f t="shared" ca="1" si="8"/>
        <v>1</v>
      </c>
      <c r="O19" s="20">
        <v>1</v>
      </c>
      <c r="P19" s="15">
        <f t="shared" si="3"/>
        <v>2.5903578176995401</v>
      </c>
      <c r="Q19" s="16">
        <f t="shared" si="4"/>
        <v>8.9718671977594561E-3</v>
      </c>
      <c r="R19" s="17">
        <f>IF(Iteration&lt;0,"",VLOOKUP(VLOOKUP(O19,'Other Tables'!TBLCriticalPath,2)+VLOOKUP(P19,'Other Tables'!TBLSigma,2)+VLOOKUP(Q19,'Other Tables'!TBLProcess,2),'Other Tables'!TBLSeverity,2))</f>
        <v>3</v>
      </c>
      <c r="S19" s="21">
        <f t="shared" si="5"/>
        <v>240</v>
      </c>
      <c r="T19" s="10"/>
      <c r="U19" s="97" t="s">
        <v>61</v>
      </c>
      <c r="V19" s="98">
        <v>2</v>
      </c>
      <c r="W19" s="99">
        <v>4</v>
      </c>
      <c r="X19" s="99">
        <v>8</v>
      </c>
      <c r="Y19" s="113">
        <v>4</v>
      </c>
      <c r="Z19" s="100">
        <v>1048.4324084114669</v>
      </c>
      <c r="AA19" s="101">
        <v>5.0000000000000001E-3</v>
      </c>
      <c r="AB19" s="102">
        <v>0.01</v>
      </c>
      <c r="AC19" s="102">
        <v>1.2E-2</v>
      </c>
      <c r="AD19" s="77">
        <v>0.01</v>
      </c>
      <c r="AE19" s="99">
        <f t="shared" si="6"/>
        <v>0.04</v>
      </c>
      <c r="AF19" s="103">
        <v>9.4063963340947847</v>
      </c>
      <c r="AG19" s="101">
        <v>0.1</v>
      </c>
      <c r="AH19" s="102">
        <v>0.12</v>
      </c>
      <c r="AI19" s="102">
        <v>0.14000000000000001</v>
      </c>
      <c r="AJ19" s="77">
        <v>0.12</v>
      </c>
      <c r="AK19" s="110">
        <v>0</v>
      </c>
      <c r="AL19" s="103">
        <v>31</v>
      </c>
      <c r="AM19" s="104">
        <v>75</v>
      </c>
      <c r="AN19" s="105">
        <v>100</v>
      </c>
      <c r="AO19" s="105">
        <v>150</v>
      </c>
      <c r="AP19" s="109">
        <v>100</v>
      </c>
      <c r="AQ19" s="106">
        <v>25</v>
      </c>
      <c r="AR19" s="107">
        <v>35</v>
      </c>
      <c r="AS19" s="107">
        <v>45</v>
      </c>
      <c r="AT19" s="108">
        <v>35</v>
      </c>
      <c r="AU19" s="6"/>
      <c r="AV19" s="6"/>
      <c r="AW19" s="6"/>
      <c r="AX19" s="6"/>
      <c r="AY19" s="6"/>
    </row>
    <row r="20" spans="2:51" x14ac:dyDescent="0.25">
      <c r="B20" s="40" t="s">
        <v>60</v>
      </c>
      <c r="C20" s="28" t="s">
        <v>64</v>
      </c>
      <c r="D20" s="28"/>
      <c r="E20" s="28"/>
      <c r="F20" s="27" t="s">
        <v>58</v>
      </c>
      <c r="G20" s="143">
        <f t="shared" si="0"/>
        <v>3</v>
      </c>
      <c r="H20" s="12">
        <f t="array" aca="1" ref="H20" ca="1">MAX(IF(ISERR(FIND($B$6:$B$22,F20)),0,$I$6:$I$22))</f>
        <v>46</v>
      </c>
      <c r="I20" s="12">
        <f t="shared" ca="1" si="1"/>
        <v>49</v>
      </c>
      <c r="J20" s="12">
        <f t="shared" ca="1" si="2"/>
        <v>46</v>
      </c>
      <c r="K20" s="12">
        <f t="array" aca="1" ref="K20" ca="1">MIN(IF(ISERR(FIND(B20,$F$6:$F$22)),MAX($I$6:$I$22),$J$6:$J$22))</f>
        <v>49</v>
      </c>
      <c r="L20" s="13">
        <f t="shared" ca="1" si="7"/>
        <v>0</v>
      </c>
      <c r="M20" s="117">
        <f t="shared" ca="1" si="8"/>
        <v>1</v>
      </c>
      <c r="O20" s="20">
        <v>1</v>
      </c>
      <c r="P20" s="15">
        <f t="shared" si="3"/>
        <v>2.7206403488473505</v>
      </c>
      <c r="Q20" s="16">
        <f t="shared" si="4"/>
        <v>1.2246422227774017E-2</v>
      </c>
      <c r="R20" s="17">
        <f>IF(Iteration&lt;0,"",VLOOKUP(VLOOKUP(O20,'Other Tables'!TBLCriticalPath,2)+VLOOKUP(P20,'Other Tables'!TBLSigma,2)+VLOOKUP(Q20,'Other Tables'!TBLProcess,2),'Other Tables'!TBLSeverity,2))</f>
        <v>2</v>
      </c>
      <c r="S20" s="21">
        <f t="shared" si="5"/>
        <v>205</v>
      </c>
      <c r="T20" s="10"/>
      <c r="U20" s="65" t="s">
        <v>64</v>
      </c>
      <c r="V20" s="78">
        <v>1</v>
      </c>
      <c r="W20" s="56">
        <v>3</v>
      </c>
      <c r="X20" s="56">
        <v>5</v>
      </c>
      <c r="Y20" s="113">
        <v>3</v>
      </c>
      <c r="Z20" s="79">
        <v>677.89060369347328</v>
      </c>
      <c r="AA20" s="82">
        <v>0.01</v>
      </c>
      <c r="AB20" s="58">
        <v>1.2E-2</v>
      </c>
      <c r="AC20" s="58">
        <v>1.4999999999999999E-2</v>
      </c>
      <c r="AD20" s="77">
        <v>1.2E-2</v>
      </c>
      <c r="AE20" s="56">
        <f t="shared" si="6"/>
        <v>3.6000000000000004E-2</v>
      </c>
      <c r="AF20" s="83">
        <v>8.3017345570708976</v>
      </c>
      <c r="AG20" s="82">
        <v>0.05</v>
      </c>
      <c r="AH20" s="58">
        <v>0.15</v>
      </c>
      <c r="AI20" s="58">
        <v>0.25</v>
      </c>
      <c r="AJ20" s="77">
        <v>0.15</v>
      </c>
      <c r="AK20" s="110">
        <v>0</v>
      </c>
      <c r="AL20" s="83">
        <v>25</v>
      </c>
      <c r="AM20" s="86">
        <v>75</v>
      </c>
      <c r="AN20" s="60">
        <v>100</v>
      </c>
      <c r="AO20" s="60">
        <v>150</v>
      </c>
      <c r="AP20" s="109">
        <v>100</v>
      </c>
      <c r="AQ20" s="88">
        <v>25</v>
      </c>
      <c r="AR20" s="62">
        <v>35</v>
      </c>
      <c r="AS20" s="62">
        <v>40</v>
      </c>
      <c r="AT20" s="108">
        <v>35</v>
      </c>
      <c r="AU20" s="6"/>
      <c r="AV20" s="6"/>
      <c r="AW20" s="6"/>
      <c r="AX20" s="6"/>
      <c r="AY20" s="6"/>
    </row>
    <row r="21" spans="2:51" x14ac:dyDescent="0.25">
      <c r="B21" s="45" t="s">
        <v>62</v>
      </c>
      <c r="C21" s="46" t="s">
        <v>65</v>
      </c>
      <c r="D21" s="46"/>
      <c r="E21" s="46"/>
      <c r="F21" s="47" t="s">
        <v>88</v>
      </c>
      <c r="G21" s="144">
        <f t="shared" si="0"/>
        <v>3</v>
      </c>
      <c r="H21" s="48">
        <f t="array" aca="1" ref="H21" ca="1">MAX(IF(ISERR(FIND($B$6:$B$22,F21)),0,$I$6:$I$22))</f>
        <v>49</v>
      </c>
      <c r="I21" s="48">
        <f t="shared" ca="1" si="1"/>
        <v>52</v>
      </c>
      <c r="J21" s="48">
        <f t="shared" ca="1" si="2"/>
        <v>49</v>
      </c>
      <c r="K21" s="48">
        <f t="array" aca="1" ref="K21" ca="1">MIN(IF(ISERR(FIND(B21,$F$6:$F$22)),MAX($I$6:$I$22),$J$6:$J$22))</f>
        <v>52</v>
      </c>
      <c r="L21" s="49">
        <f t="shared" ca="1" si="7"/>
        <v>0</v>
      </c>
      <c r="M21" s="117">
        <f t="shared" ca="1" si="8"/>
        <v>1</v>
      </c>
      <c r="O21" s="20">
        <v>1</v>
      </c>
      <c r="P21" s="15">
        <f t="shared" si="3"/>
        <v>2.6749867920660906</v>
      </c>
      <c r="Q21" s="16">
        <f t="shared" si="4"/>
        <v>2.3365690642255865E-2</v>
      </c>
      <c r="R21" s="17">
        <f>IF(Iteration&lt;0,"",VLOOKUP(VLOOKUP(O21,'Other Tables'!TBLCriticalPath,2)+VLOOKUP(P21,'Other Tables'!TBLSigma,2)+VLOOKUP(Q21,'Other Tables'!TBLProcess,2),'Other Tables'!TBLSeverity,2))</f>
        <v>2</v>
      </c>
      <c r="S21" s="21">
        <f t="shared" si="5"/>
        <v>175</v>
      </c>
      <c r="T21" s="10"/>
      <c r="U21" s="97" t="s">
        <v>65</v>
      </c>
      <c r="V21" s="98">
        <v>1</v>
      </c>
      <c r="W21" s="99">
        <v>3</v>
      </c>
      <c r="X21" s="99">
        <v>5</v>
      </c>
      <c r="Y21" s="113">
        <v>3</v>
      </c>
      <c r="Z21" s="100">
        <v>673.16358575254367</v>
      </c>
      <c r="AA21" s="101">
        <v>0</v>
      </c>
      <c r="AB21" s="102">
        <v>0.02</v>
      </c>
      <c r="AC21" s="102">
        <v>0.05</v>
      </c>
      <c r="AD21" s="77">
        <v>0.02</v>
      </c>
      <c r="AE21" s="99">
        <f t="shared" si="6"/>
        <v>0.06</v>
      </c>
      <c r="AF21" s="103">
        <v>15.728932096325613</v>
      </c>
      <c r="AG21" s="101">
        <v>0.05</v>
      </c>
      <c r="AH21" s="102">
        <v>0.1</v>
      </c>
      <c r="AI21" s="102">
        <v>0.2</v>
      </c>
      <c r="AJ21" s="77">
        <v>0.1</v>
      </c>
      <c r="AK21" s="110">
        <v>0</v>
      </c>
      <c r="AL21" s="103">
        <v>27</v>
      </c>
      <c r="AM21" s="104">
        <v>75</v>
      </c>
      <c r="AN21" s="105">
        <v>100</v>
      </c>
      <c r="AO21" s="105">
        <v>150</v>
      </c>
      <c r="AP21" s="109">
        <v>100</v>
      </c>
      <c r="AQ21" s="106">
        <v>20</v>
      </c>
      <c r="AR21" s="107">
        <v>25</v>
      </c>
      <c r="AS21" s="107">
        <v>30</v>
      </c>
      <c r="AT21" s="108">
        <v>25</v>
      </c>
      <c r="AU21" s="6"/>
      <c r="AV21" s="6"/>
      <c r="AW21" s="6"/>
      <c r="AX21" s="6"/>
      <c r="AY21" s="6"/>
    </row>
    <row r="22" spans="2:51" x14ac:dyDescent="0.25">
      <c r="B22" s="41" t="s">
        <v>63</v>
      </c>
      <c r="C22" s="37" t="s">
        <v>66</v>
      </c>
      <c r="D22" s="37"/>
      <c r="E22" s="37"/>
      <c r="F22" s="36" t="s">
        <v>62</v>
      </c>
      <c r="G22" s="145">
        <f t="shared" si="0"/>
        <v>20</v>
      </c>
      <c r="H22" s="38">
        <f t="array" aca="1" ref="H22" ca="1">MAX(IF(ISERR(FIND($B$6:$B$22,F22)),0,$I$6:$I$22))</f>
        <v>52</v>
      </c>
      <c r="I22" s="38">
        <f t="shared" ca="1" si="1"/>
        <v>72</v>
      </c>
      <c r="J22" s="38">
        <f t="shared" ca="1" si="2"/>
        <v>52</v>
      </c>
      <c r="K22" s="38">
        <f t="array" aca="1" ref="K22" ca="1">MIN(IF(ISERR(FIND(B22,$F$6:$F$22)),MAX($I$6:$I$22),$J$6:$J$22))</f>
        <v>72</v>
      </c>
      <c r="L22" s="39">
        <f t="shared" ca="1" si="7"/>
        <v>0</v>
      </c>
      <c r="M22" s="119">
        <f t="shared" ca="1" si="8"/>
        <v>1</v>
      </c>
      <c r="O22" s="20">
        <v>1</v>
      </c>
      <c r="P22" s="15">
        <f t="shared" si="3"/>
        <v>2.9356178553733807</v>
      </c>
      <c r="Q22" s="16">
        <f t="shared" si="4"/>
        <v>2.3407245763656315E-2</v>
      </c>
      <c r="R22" s="17">
        <f>IF(Iteration&lt;0,"",VLOOKUP(VLOOKUP(O22,'Other Tables'!TBLCriticalPath,2)+VLOOKUP(P22,'Other Tables'!TBLSigma,2)+VLOOKUP(Q22,'Other Tables'!TBLProcess,2),'Other Tables'!TBLSeverity,2))</f>
        <v>2</v>
      </c>
      <c r="S22" s="22">
        <f t="shared" si="5"/>
        <v>600</v>
      </c>
      <c r="T22" s="10"/>
      <c r="U22" s="66" t="s">
        <v>66</v>
      </c>
      <c r="V22" s="80">
        <v>10</v>
      </c>
      <c r="W22" s="57">
        <v>20</v>
      </c>
      <c r="X22" s="57">
        <v>60</v>
      </c>
      <c r="Y22" s="115">
        <v>20</v>
      </c>
      <c r="Z22" s="81">
        <v>7190.4280535896578</v>
      </c>
      <c r="AA22" s="84">
        <v>0</v>
      </c>
      <c r="AB22" s="59">
        <v>0.02</v>
      </c>
      <c r="AC22" s="59">
        <v>0.05</v>
      </c>
      <c r="AD22" s="114">
        <v>0.02</v>
      </c>
      <c r="AE22" s="57">
        <f t="shared" si="6"/>
        <v>0.4</v>
      </c>
      <c r="AF22" s="85">
        <v>168.30811659626204</v>
      </c>
      <c r="AG22" s="84">
        <v>0.04</v>
      </c>
      <c r="AH22" s="59">
        <v>0.08</v>
      </c>
      <c r="AI22" s="59">
        <v>0.12</v>
      </c>
      <c r="AJ22" s="114">
        <v>0.08</v>
      </c>
      <c r="AK22" s="116">
        <v>0</v>
      </c>
      <c r="AL22" s="85">
        <v>17</v>
      </c>
      <c r="AM22" s="87">
        <v>75</v>
      </c>
      <c r="AN22" s="61">
        <v>100</v>
      </c>
      <c r="AO22" s="61">
        <v>150</v>
      </c>
      <c r="AP22" s="111">
        <v>100</v>
      </c>
      <c r="AQ22" s="89">
        <v>20</v>
      </c>
      <c r="AR22" s="63">
        <v>25</v>
      </c>
      <c r="AS22" s="63">
        <v>35</v>
      </c>
      <c r="AT22" s="112">
        <v>25</v>
      </c>
      <c r="AU22" s="6"/>
      <c r="AV22" s="6"/>
      <c r="AW22" s="6"/>
      <c r="AX22" s="6"/>
      <c r="AY22" s="6"/>
    </row>
    <row r="23" spans="2:51" x14ac:dyDescent="0.25">
      <c r="B23" s="29"/>
      <c r="D23" s="30"/>
      <c r="E23" s="30"/>
      <c r="F23" s="31"/>
      <c r="G23" s="31"/>
      <c r="H23" s="32" t="s">
        <v>172</v>
      </c>
      <c r="I23" s="118">
        <f ca="1">MAX(I6:I22)</f>
        <v>72</v>
      </c>
      <c r="J23" s="31"/>
      <c r="K23" s="31"/>
      <c r="L23" s="31"/>
      <c r="M23" s="31"/>
      <c r="O23" s="50"/>
      <c r="P23" s="51">
        <f>IF(Iteration&lt;1,"",IF(TotalDefects/(Iteration*COUNTA(ProcessID))&lt;0.000001,6.25,  IF(TotalDefects/(Iteration*COUNTA(ProcessID))&gt;0.9332,0,          NORMSINV(1-TotalDefects/(Iteration*COUNTA(ProcessID))) + 1.5)))</f>
        <v>2.6671810675447256</v>
      </c>
      <c r="Q23" s="52">
        <f>IF(Iteration&lt;1,"",IF(TotalCycleTime&gt;0,TotalVATime/TotalCycleTime,0))</f>
        <v>3.0716802324788076E-2</v>
      </c>
      <c r="R23" s="53"/>
      <c r="S23" s="120">
        <f>SUM(S6:S22)</f>
        <v>5405</v>
      </c>
      <c r="T23" s="7"/>
      <c r="U23" s="30"/>
      <c r="V23" s="29"/>
      <c r="W23" s="29"/>
      <c r="X23" s="54" t="s">
        <v>67</v>
      </c>
      <c r="Y23" s="29"/>
      <c r="Z23" s="55">
        <f>SUM(CumCycleTime)</f>
        <v>23550.788734156675</v>
      </c>
      <c r="AA23" s="29"/>
      <c r="AB23" s="31"/>
      <c r="AC23" s="29"/>
      <c r="AD23" s="29" t="s">
        <v>68</v>
      </c>
      <c r="AE23" s="56"/>
      <c r="AF23" s="55">
        <f>SUM(CumVATime)</f>
        <v>723.40492213993662</v>
      </c>
      <c r="AG23" s="29"/>
      <c r="AH23" s="29"/>
      <c r="AI23" s="29"/>
      <c r="AJ23" s="29" t="s">
        <v>69</v>
      </c>
      <c r="AK23" s="56"/>
      <c r="AL23" s="55">
        <f>SUM(CumDefects)</f>
        <v>465</v>
      </c>
      <c r="AM23" s="29"/>
      <c r="AN23" s="29"/>
      <c r="AO23" s="29"/>
      <c r="AP23" s="29"/>
      <c r="AQ23" s="29"/>
      <c r="AR23" s="29"/>
      <c r="AS23" s="29"/>
      <c r="AT23" s="29"/>
      <c r="AU23" s="6"/>
      <c r="AV23" s="6"/>
      <c r="AW23" s="6"/>
      <c r="AX23" s="6"/>
      <c r="AY23" s="6"/>
    </row>
    <row r="24" spans="2:51" x14ac:dyDescent="0.25">
      <c r="C24" s="8"/>
      <c r="AA24" s="10"/>
      <c r="AB24" s="10"/>
      <c r="AC24" s="10"/>
      <c r="AD24" s="10"/>
      <c r="AE24" s="10"/>
      <c r="AF24" s="10"/>
      <c r="AG24" s="10"/>
      <c r="AH24" s="10"/>
      <c r="AI24" s="10"/>
      <c r="AJ24" s="10"/>
      <c r="AK24" s="10"/>
      <c r="AL24" s="10"/>
      <c r="AM24" s="10"/>
      <c r="AN24" s="10"/>
      <c r="AO24" s="10"/>
      <c r="AP24" s="23"/>
      <c r="AQ24" s="23"/>
      <c r="AR24" s="10"/>
      <c r="AS24" s="10"/>
      <c r="AT24" s="10"/>
      <c r="AU24" s="10"/>
      <c r="AV24" s="10"/>
      <c r="AW24" s="10"/>
      <c r="AX24" s="10"/>
      <c r="AY24" s="10"/>
    </row>
    <row r="26" spans="2:51" x14ac:dyDescent="0.25">
      <c r="E26" s="165" t="s">
        <v>35</v>
      </c>
      <c r="F26" s="166"/>
    </row>
    <row r="27" spans="2:51" x14ac:dyDescent="0.25">
      <c r="E27" s="170" t="str">
        <f>INDEX(ProcessDesc,MATCH(E26,ProcessID,0),0)</f>
        <v>Qualify Customer</v>
      </c>
      <c r="F27" s="171"/>
    </row>
    <row r="28" spans="2:51" x14ac:dyDescent="0.25">
      <c r="B28" s="165" t="s">
        <v>27</v>
      </c>
      <c r="C28" s="166"/>
      <c r="E28" s="24"/>
      <c r="F28" s="24"/>
      <c r="H28" s="165" t="s">
        <v>39</v>
      </c>
      <c r="I28" s="166"/>
      <c r="K28" s="165" t="s">
        <v>41</v>
      </c>
      <c r="L28" s="166"/>
      <c r="N28" s="165" t="s">
        <v>62</v>
      </c>
      <c r="O28" s="166"/>
      <c r="Q28" s="165" t="s">
        <v>63</v>
      </c>
      <c r="R28" s="166"/>
    </row>
    <row r="29" spans="2:51" x14ac:dyDescent="0.25">
      <c r="B29" s="170" t="str">
        <f>INDEX(ProcessDesc,MATCH(B28,ProcessID,0),0)</f>
        <v>Initiate Order</v>
      </c>
      <c r="C29" s="171"/>
      <c r="H29" s="170" t="str">
        <f>INDEX(ProcessDesc,MATCH(H28,ProcessID,0),0)</f>
        <v>Consultation &amp; Pricing</v>
      </c>
      <c r="I29" s="171"/>
      <c r="K29" s="170" t="str">
        <f>INDEX(ProcessDesc,MATCH(K28,ProcessID,0),0)</f>
        <v>Customer Contract</v>
      </c>
      <c r="L29" s="171"/>
      <c r="N29" s="170" t="str">
        <f>INDEX(ProcessDesc,MATCH(N28,ProcessID,0),0)</f>
        <v>Customer Invoicing</v>
      </c>
      <c r="O29" s="171"/>
      <c r="Q29" s="170" t="str">
        <f>INDEX(ProcessDesc,MATCH(Q28,ProcessID,0),0)</f>
        <v>Collections</v>
      </c>
      <c r="R29" s="171"/>
    </row>
    <row r="30" spans="2:51" x14ac:dyDescent="0.25">
      <c r="E30" s="165" t="s">
        <v>37</v>
      </c>
      <c r="F30" s="166"/>
    </row>
    <row r="31" spans="2:51" ht="15.75" thickBot="1" x14ac:dyDescent="0.3">
      <c r="E31" s="170" t="str">
        <f>INDEX(ProcessDesc,MATCH(E30,ProcessID,0),0)</f>
        <v>Preliminary Design</v>
      </c>
      <c r="F31" s="171"/>
      <c r="N31" s="165" t="s">
        <v>60</v>
      </c>
      <c r="O31" s="166"/>
    </row>
    <row r="32" spans="2:51" ht="18.75" x14ac:dyDescent="0.3">
      <c r="N32" s="170" t="str">
        <f>INDEX(ProcessDesc,MATCH(N31,ProcessID,0),0)</f>
        <v>Inspection &amp; Shipping</v>
      </c>
      <c r="O32" s="171"/>
      <c r="Q32" s="178" t="s">
        <v>94</v>
      </c>
      <c r="R32" s="179"/>
      <c r="S32" s="67"/>
      <c r="T32" s="67"/>
      <c r="U32" s="67"/>
      <c r="V32" s="67"/>
      <c r="W32" s="67"/>
      <c r="X32" s="67"/>
      <c r="Y32" s="68"/>
    </row>
    <row r="33" spans="2:25" x14ac:dyDescent="0.25">
      <c r="Q33" s="69" t="s">
        <v>142</v>
      </c>
      <c r="R33" s="28"/>
      <c r="S33" s="123" t="s">
        <v>96</v>
      </c>
      <c r="T33" s="70"/>
      <c r="U33" s="28"/>
      <c r="V33" s="28"/>
      <c r="W33" s="28"/>
      <c r="X33" s="28"/>
      <c r="Y33" s="71"/>
    </row>
    <row r="34" spans="2:25" x14ac:dyDescent="0.25">
      <c r="E34" s="165" t="s">
        <v>45</v>
      </c>
      <c r="F34" s="166"/>
      <c r="K34" s="165" t="s">
        <v>56</v>
      </c>
      <c r="L34" s="166"/>
      <c r="N34" s="165" t="s">
        <v>58</v>
      </c>
      <c r="O34" s="166"/>
      <c r="Q34" s="69" t="s">
        <v>143</v>
      </c>
      <c r="R34" s="28"/>
      <c r="S34" s="123" t="s">
        <v>97</v>
      </c>
      <c r="T34" s="70"/>
      <c r="U34" s="28"/>
      <c r="V34" s="28"/>
      <c r="W34" s="28"/>
      <c r="X34" s="28"/>
      <c r="Y34" s="71"/>
    </row>
    <row r="35" spans="2:25" x14ac:dyDescent="0.25">
      <c r="E35" s="170" t="str">
        <f>INDEX(ProcessDesc,MATCH(E34,ProcessID,0),0)</f>
        <v>Engine Procurement</v>
      </c>
      <c r="F35" s="171"/>
      <c r="K35" s="170" t="str">
        <f>INDEX(ProcessDesc,MATCH(K34,ProcessID,0),0)</f>
        <v>Stamping</v>
      </c>
      <c r="L35" s="171"/>
      <c r="N35" s="170" t="str">
        <f>INDEX(ProcessDesc,MATCH(N34,ProcessID,0),0)</f>
        <v>Engine Assembly</v>
      </c>
      <c r="O35" s="171"/>
      <c r="Q35" s="69" t="s">
        <v>144</v>
      </c>
      <c r="R35" s="28"/>
      <c r="S35" s="123" t="s">
        <v>98</v>
      </c>
      <c r="T35" s="70"/>
      <c r="U35" s="28"/>
      <c r="V35" s="28"/>
      <c r="W35" s="28"/>
      <c r="X35" s="28"/>
      <c r="Y35" s="71"/>
    </row>
    <row r="36" spans="2:25" x14ac:dyDescent="0.25">
      <c r="B36" s="165" t="s">
        <v>43</v>
      </c>
      <c r="C36" s="166"/>
      <c r="Q36" s="69" t="s">
        <v>145</v>
      </c>
      <c r="R36" s="28"/>
      <c r="S36" s="123" t="s">
        <v>99</v>
      </c>
      <c r="T36" s="70"/>
      <c r="U36" s="28"/>
      <c r="V36" s="28"/>
      <c r="W36" s="28"/>
      <c r="X36" s="28"/>
      <c r="Y36" s="71"/>
    </row>
    <row r="37" spans="2:25" x14ac:dyDescent="0.25">
      <c r="B37" s="170" t="str">
        <f>INDEX(ProcessDesc,MATCH(B36,ProcessID,0),0)</f>
        <v>Detailed Design</v>
      </c>
      <c r="C37" s="171"/>
      <c r="H37" s="165" t="s">
        <v>48</v>
      </c>
      <c r="I37" s="166"/>
      <c r="N37" s="165" t="s">
        <v>54</v>
      </c>
      <c r="O37" s="166"/>
      <c r="Q37" s="69" t="s">
        <v>146</v>
      </c>
      <c r="R37" s="28"/>
      <c r="S37" s="123" t="s">
        <v>100</v>
      </c>
      <c r="T37" s="70"/>
      <c r="U37" s="28"/>
      <c r="V37" s="28"/>
      <c r="W37" s="28"/>
      <c r="X37" s="28"/>
      <c r="Y37" s="71"/>
    </row>
    <row r="38" spans="2:25" x14ac:dyDescent="0.25">
      <c r="E38" s="165" t="s">
        <v>46</v>
      </c>
      <c r="F38" s="166"/>
      <c r="H38" s="170" t="str">
        <f>INDEX(ProcessDesc,MATCH(H37,ProcessID,0),0)</f>
        <v>Tube Bend/Drill</v>
      </c>
      <c r="I38" s="171"/>
      <c r="N38" s="170" t="str">
        <f>INDEX(ProcessDesc,MATCH(N37,ProcessID,0),0)</f>
        <v>Frame Assembly</v>
      </c>
      <c r="O38" s="171"/>
      <c r="Q38" s="69" t="s">
        <v>147</v>
      </c>
      <c r="R38" s="28"/>
      <c r="S38" s="123" t="s">
        <v>101</v>
      </c>
      <c r="T38" s="70"/>
      <c r="U38" s="28"/>
      <c r="V38" s="28"/>
      <c r="W38" s="28"/>
      <c r="X38" s="28"/>
      <c r="Y38" s="71"/>
    </row>
    <row r="39" spans="2:25" x14ac:dyDescent="0.25">
      <c r="E39" s="170" t="str">
        <f>INDEX(ProcessDesc,MATCH(E38,ProcessID,0),0)</f>
        <v>Frame Procurement</v>
      </c>
      <c r="F39" s="171"/>
      <c r="Q39" s="69" t="s">
        <v>110</v>
      </c>
      <c r="R39" s="28"/>
      <c r="S39" s="123" t="s">
        <v>102</v>
      </c>
      <c r="T39" s="70"/>
      <c r="U39" s="28"/>
      <c r="V39" s="28"/>
      <c r="W39" s="28"/>
      <c r="X39" s="28"/>
      <c r="Y39" s="71"/>
    </row>
    <row r="40" spans="2:25" x14ac:dyDescent="0.25">
      <c r="H40" s="165" t="s">
        <v>50</v>
      </c>
      <c r="I40" s="166"/>
      <c r="K40" s="165" t="s">
        <v>52</v>
      </c>
      <c r="L40" s="166"/>
      <c r="Q40" s="69" t="s">
        <v>111</v>
      </c>
      <c r="R40" s="28"/>
      <c r="S40" s="123" t="s">
        <v>103</v>
      </c>
      <c r="T40" s="70"/>
      <c r="U40" s="28"/>
      <c r="V40" s="28"/>
      <c r="W40" s="28"/>
      <c r="X40" s="28"/>
      <c r="Y40" s="71"/>
    </row>
    <row r="41" spans="2:25" x14ac:dyDescent="0.25">
      <c r="B41" s="7"/>
      <c r="H41" s="170" t="str">
        <f>INDEX(ProcessDesc,MATCH(H40,ProcessID,0),0)</f>
        <v>Flat Stock Cut/Drill</v>
      </c>
      <c r="I41" s="171"/>
      <c r="K41" s="170" t="str">
        <f>INDEX(ProcessDesc,MATCH(K40,ProcessID,0),0)</f>
        <v>Welding</v>
      </c>
      <c r="L41" s="171"/>
      <c r="Q41" s="69" t="s">
        <v>112</v>
      </c>
      <c r="R41" s="28"/>
      <c r="S41" s="123" t="s">
        <v>105</v>
      </c>
      <c r="T41" s="70"/>
      <c r="U41" s="28"/>
      <c r="V41" s="28"/>
      <c r="W41" s="28"/>
      <c r="X41" s="28"/>
      <c r="Y41" s="71"/>
    </row>
    <row r="42" spans="2:25" ht="15.75" thickBot="1" x14ac:dyDescent="0.3">
      <c r="Q42" s="72" t="s">
        <v>113</v>
      </c>
      <c r="R42" s="73"/>
      <c r="S42" s="124" t="s">
        <v>104</v>
      </c>
      <c r="T42" s="74"/>
      <c r="U42" s="73"/>
      <c r="V42" s="73"/>
      <c r="W42" s="73"/>
      <c r="X42" s="73"/>
      <c r="Y42" s="75"/>
    </row>
    <row r="43" spans="2:25" x14ac:dyDescent="0.25">
      <c r="Q43" s="76"/>
      <c r="R43" s="28"/>
      <c r="S43" s="70"/>
      <c r="T43" s="70"/>
      <c r="U43" s="28"/>
      <c r="V43" s="28"/>
      <c r="W43" s="28"/>
      <c r="X43" s="28"/>
      <c r="Y43" s="28"/>
    </row>
    <row r="44" spans="2:25" ht="15.75" thickBot="1" x14ac:dyDescent="0.3"/>
    <row r="45" spans="2:25" ht="18.75" x14ac:dyDescent="0.3">
      <c r="Q45" s="178" t="s">
        <v>95</v>
      </c>
      <c r="R45" s="179"/>
      <c r="S45" s="67"/>
      <c r="T45" s="67"/>
      <c r="U45" s="67"/>
      <c r="V45" s="67"/>
      <c r="W45" s="67"/>
      <c r="X45" s="67"/>
      <c r="Y45" s="68"/>
    </row>
    <row r="46" spans="2:25" x14ac:dyDescent="0.25">
      <c r="Q46" s="172" t="s">
        <v>106</v>
      </c>
      <c r="R46" s="173"/>
      <c r="S46" s="123" t="s">
        <v>138</v>
      </c>
      <c r="T46" s="28"/>
      <c r="U46" s="28"/>
      <c r="V46" s="28"/>
      <c r="W46" s="28"/>
      <c r="X46" s="28"/>
      <c r="Y46" s="71"/>
    </row>
    <row r="47" spans="2:25" x14ac:dyDescent="0.25">
      <c r="Q47" s="174" t="s">
        <v>107</v>
      </c>
      <c r="R47" s="175"/>
      <c r="S47" s="123" t="s">
        <v>139</v>
      </c>
      <c r="T47" s="28"/>
      <c r="U47" s="28"/>
      <c r="V47" s="28"/>
      <c r="W47" s="28"/>
      <c r="X47" s="28"/>
      <c r="Y47" s="71"/>
    </row>
    <row r="48" spans="2:25" ht="15.75" thickBot="1" x14ac:dyDescent="0.3">
      <c r="Q48" s="176" t="s">
        <v>108</v>
      </c>
      <c r="R48" s="177"/>
      <c r="S48" s="124" t="s">
        <v>140</v>
      </c>
      <c r="T48" s="73"/>
      <c r="U48" s="73"/>
      <c r="V48" s="73"/>
      <c r="W48" s="73"/>
      <c r="X48" s="73"/>
      <c r="Y48" s="75"/>
    </row>
  </sheetData>
  <mergeCells count="45">
    <mergeCell ref="H29:I29"/>
    <mergeCell ref="K29:L29"/>
    <mergeCell ref="B29:C29"/>
    <mergeCell ref="B37:C37"/>
    <mergeCell ref="E27:F27"/>
    <mergeCell ref="E31:F31"/>
    <mergeCell ref="E35:F35"/>
    <mergeCell ref="B36:C36"/>
    <mergeCell ref="E30:F30"/>
    <mergeCell ref="Q46:R46"/>
    <mergeCell ref="Q47:R47"/>
    <mergeCell ref="Q48:R48"/>
    <mergeCell ref="Q32:R32"/>
    <mergeCell ref="Q45:R45"/>
    <mergeCell ref="AM4:AO4"/>
    <mergeCell ref="AQ4:AS4"/>
    <mergeCell ref="N38:O38"/>
    <mergeCell ref="N37:O37"/>
    <mergeCell ref="N31:O31"/>
    <mergeCell ref="N34:O34"/>
    <mergeCell ref="Q29:R29"/>
    <mergeCell ref="N29:O29"/>
    <mergeCell ref="N32:O32"/>
    <mergeCell ref="N35:O35"/>
    <mergeCell ref="E38:F38"/>
    <mergeCell ref="E34:F34"/>
    <mergeCell ref="K34:L34"/>
    <mergeCell ref="H41:I41"/>
    <mergeCell ref="K41:L41"/>
    <mergeCell ref="H40:I40"/>
    <mergeCell ref="K35:L35"/>
    <mergeCell ref="H37:I37"/>
    <mergeCell ref="K40:L40"/>
    <mergeCell ref="E39:F39"/>
    <mergeCell ref="H38:I38"/>
    <mergeCell ref="E26:F26"/>
    <mergeCell ref="B28:C28"/>
    <mergeCell ref="V4:X4"/>
    <mergeCell ref="AA4:AC4"/>
    <mergeCell ref="AG4:AI4"/>
    <mergeCell ref="N28:O28"/>
    <mergeCell ref="Q28:R28"/>
    <mergeCell ref="K28:L28"/>
    <mergeCell ref="H28:I28"/>
    <mergeCell ref="C5:E5"/>
  </mergeCells>
  <phoneticPr fontId="3" type="noConversion"/>
  <conditionalFormatting sqref="B29:C29 B37:C37 E31:F31 E35:F35 E39:F39 H29:I29 K29:L29 H38:I38 H41:I41 K35:L35 K41:L41 N38:O38 N35:O35 N32:O32 N29:O29 Q29:R29 E27:F28">
    <cfRule type="expression" dxfId="4" priority="1" stopIfTrue="1">
      <formula>INDEX(ProcessCP,MATCH(#REF!,ProcessID,0),0)=1</formula>
    </cfRule>
  </conditionalFormatting>
  <conditionalFormatting sqref="O6:S22">
    <cfRule type="expression" dxfId="3" priority="2" stopIfTrue="1">
      <formula>$R6=3</formula>
    </cfRule>
    <cfRule type="expression" dxfId="2" priority="3" stopIfTrue="1">
      <formula>$R6=2</formula>
    </cfRule>
    <cfRule type="expression" dxfId="1" priority="4" stopIfTrue="1">
      <formula>AND($R6&lt;&gt;3,$R6&lt;&gt;2)</formula>
    </cfRule>
  </conditionalFormatting>
  <conditionalFormatting sqref="E34:F34 E38:F38 B28:C28 B36:C36 E26:F26 E30:F30 H28:I28 K28:L28 H37:I37 H40:I40 K34:L34 K40:L40 N37:O37 N34:O34 N31:O31 N28:O28 Q28:R28">
    <cfRule type="expression" dxfId="0" priority="5" stopIfTrue="1">
      <formula>INDEX(ProcessCP,MATCH(B26,ProcessID,0),0)=1</formula>
    </cfRule>
  </conditionalFormatting>
  <hyperlinks>
    <hyperlink ref="S1" location="Description!A1" display="Learn about model"/>
    <hyperlink ref="S2" location="'Other Tables'!A1" display="Show Other Tables"/>
  </hyperlinks>
  <pageMargins left="0.25" right="0.25" top="1" bottom="1" header="0.5" footer="0.5"/>
  <pageSetup scale="75"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M32"/>
  <sheetViews>
    <sheetView showGridLines="0" zoomScale="90" workbookViewId="0"/>
  </sheetViews>
  <sheetFormatPr defaultRowHeight="12.75" x14ac:dyDescent="0.2"/>
  <cols>
    <col min="2" max="2" width="14.140625" customWidth="1"/>
    <col min="10" max="10" width="12.28515625" customWidth="1"/>
    <col min="11" max="11" width="4.7109375" customWidth="1"/>
    <col min="12" max="12" width="6.7109375" customWidth="1"/>
    <col min="13" max="13" width="4.7109375" customWidth="1"/>
  </cols>
  <sheetData>
    <row r="1" spans="2:13" ht="34.5" customHeight="1" x14ac:dyDescent="0.2">
      <c r="B1" s="134" t="s">
        <v>179</v>
      </c>
      <c r="J1" s="146" t="s">
        <v>186</v>
      </c>
    </row>
    <row r="2" spans="2:13" ht="15.75" x14ac:dyDescent="0.25">
      <c r="B2" s="180" t="s">
        <v>70</v>
      </c>
      <c r="C2" s="181"/>
      <c r="D2" s="182"/>
      <c r="K2" s="183" t="s">
        <v>85</v>
      </c>
      <c r="L2" s="183"/>
      <c r="M2" s="183"/>
    </row>
    <row r="3" spans="2:13" ht="15" x14ac:dyDescent="0.25">
      <c r="B3" s="135"/>
      <c r="C3" s="136" t="s">
        <v>11</v>
      </c>
      <c r="D3" s="137" t="s">
        <v>19</v>
      </c>
      <c r="K3" s="187">
        <v>225</v>
      </c>
      <c r="L3" s="188"/>
      <c r="M3" s="189"/>
    </row>
    <row r="4" spans="2:13" x14ac:dyDescent="0.2">
      <c r="B4" t="s">
        <v>71</v>
      </c>
      <c r="C4" s="2">
        <v>0</v>
      </c>
      <c r="D4" s="1">
        <v>-1</v>
      </c>
      <c r="E4" s="138" t="str">
        <f>CONCATENATE("&lt;",C5*100,"% adjusts severity DOWN by one point")</f>
        <v>&lt;60% adjusts severity DOWN by one point</v>
      </c>
      <c r="F4" s="139"/>
      <c r="G4" s="139"/>
      <c r="H4" s="139"/>
      <c r="I4" s="139"/>
    </row>
    <row r="5" spans="2:13" ht="15.75" x14ac:dyDescent="0.25">
      <c r="B5" t="s">
        <v>72</v>
      </c>
      <c r="C5" s="2">
        <v>0.6</v>
      </c>
      <c r="D5" s="1">
        <v>0</v>
      </c>
      <c r="E5" s="138" t="str">
        <f>CONCATENATE("Between ",C5*100,"% and ",C6*100,"% is NEUTRAL")</f>
        <v>Between 60% and 80% is NEUTRAL</v>
      </c>
      <c r="F5" s="139"/>
      <c r="G5" s="139"/>
      <c r="H5" s="139"/>
      <c r="I5" s="139"/>
      <c r="K5" s="184" t="s">
        <v>86</v>
      </c>
      <c r="L5" s="185"/>
      <c r="M5" s="186"/>
    </row>
    <row r="6" spans="2:13" x14ac:dyDescent="0.2">
      <c r="B6" t="s">
        <v>73</v>
      </c>
      <c r="C6" s="2">
        <v>0.8</v>
      </c>
      <c r="D6" s="1">
        <v>1</v>
      </c>
      <c r="E6" s="138" t="str">
        <f>CONCATENATE("&gt;",C6*100,"% adjusts severity UP by one point")</f>
        <v>&gt;80% adjusts severity UP by one point</v>
      </c>
      <c r="F6" s="139"/>
      <c r="G6" s="139"/>
      <c r="H6" s="139"/>
      <c r="I6" s="139"/>
      <c r="K6" s="187">
        <f>COLUMN(ProcessCP)-COLUMN(ProcessID)</f>
        <v>11</v>
      </c>
      <c r="L6" s="188"/>
      <c r="M6" s="189"/>
    </row>
    <row r="7" spans="2:13" x14ac:dyDescent="0.2">
      <c r="E7" s="5"/>
    </row>
    <row r="8" spans="2:13" x14ac:dyDescent="0.2">
      <c r="E8" s="5"/>
    </row>
    <row r="9" spans="2:13" ht="15.75" x14ac:dyDescent="0.25">
      <c r="B9" s="180" t="s">
        <v>74</v>
      </c>
      <c r="C9" s="181"/>
      <c r="D9" s="182"/>
      <c r="E9" s="5"/>
    </row>
    <row r="10" spans="2:13" ht="15" x14ac:dyDescent="0.25">
      <c r="B10" s="135"/>
      <c r="C10" s="136" t="s">
        <v>1</v>
      </c>
      <c r="D10" s="137" t="s">
        <v>19</v>
      </c>
      <c r="E10" s="5"/>
    </row>
    <row r="11" spans="2:13" x14ac:dyDescent="0.2">
      <c r="B11" t="s">
        <v>73</v>
      </c>
      <c r="C11" s="3">
        <v>0</v>
      </c>
      <c r="D11" s="1">
        <v>3</v>
      </c>
      <c r="E11" s="138" t="str">
        <f>CONCATENATE("&lt;",C12," SIGMA results in 3 severity points")</f>
        <v>&lt;2.2 SIGMA results in 3 severity points</v>
      </c>
      <c r="F11" s="139"/>
      <c r="G11" s="139"/>
      <c r="H11" s="139"/>
      <c r="I11" s="139"/>
      <c r="J11" s="139"/>
    </row>
    <row r="12" spans="2:13" x14ac:dyDescent="0.2">
      <c r="B12" t="s">
        <v>72</v>
      </c>
      <c r="C12" s="3">
        <v>2.2000000000000002</v>
      </c>
      <c r="D12" s="1">
        <v>2</v>
      </c>
      <c r="E12" s="138" t="str">
        <f>CONCATENATE("Between ",C12," SIGMA and ",C13," SIGMA results in 2 severity points")</f>
        <v>Between 2.2 SIGMA and 3 SIGMA results in 2 severity points</v>
      </c>
      <c r="F12" s="139"/>
      <c r="G12" s="139"/>
      <c r="H12" s="139"/>
      <c r="I12" s="139"/>
      <c r="J12" s="139"/>
    </row>
    <row r="13" spans="2:13" x14ac:dyDescent="0.2">
      <c r="B13" t="s">
        <v>71</v>
      </c>
      <c r="C13" s="3">
        <v>3</v>
      </c>
      <c r="D13" s="1">
        <v>1</v>
      </c>
      <c r="E13" s="138" t="str">
        <f>CONCATENATE("&gt;",C13," SIGMA results in one severity point")</f>
        <v>&gt;3 SIGMA results in one severity point</v>
      </c>
      <c r="F13" s="139"/>
      <c r="G13" s="139"/>
      <c r="H13" s="139"/>
      <c r="I13" s="139"/>
      <c r="J13" s="139"/>
    </row>
    <row r="16" spans="2:13" ht="15.75" x14ac:dyDescent="0.25">
      <c r="B16" s="180" t="s">
        <v>75</v>
      </c>
      <c r="C16" s="181"/>
      <c r="D16" s="182"/>
    </row>
    <row r="17" spans="2:5" ht="15" x14ac:dyDescent="0.25">
      <c r="B17" s="135"/>
      <c r="C17" s="136" t="s">
        <v>76</v>
      </c>
      <c r="D17" s="137" t="s">
        <v>19</v>
      </c>
    </row>
    <row r="18" spans="2:5" x14ac:dyDescent="0.2">
      <c r="B18" t="s">
        <v>73</v>
      </c>
      <c r="C18" s="2">
        <v>0</v>
      </c>
      <c r="D18" s="1">
        <v>3</v>
      </c>
    </row>
    <row r="19" spans="2:5" x14ac:dyDescent="0.2">
      <c r="B19" t="s">
        <v>72</v>
      </c>
      <c r="C19" s="2">
        <v>0.01</v>
      </c>
      <c r="D19" s="1">
        <v>2</v>
      </c>
    </row>
    <row r="20" spans="2:5" x14ac:dyDescent="0.2">
      <c r="B20" t="s">
        <v>71</v>
      </c>
      <c r="C20" s="2">
        <v>0.05</v>
      </c>
      <c r="D20" s="1">
        <v>1</v>
      </c>
    </row>
    <row r="23" spans="2:5" ht="15.75" x14ac:dyDescent="0.25">
      <c r="B23" s="180" t="s">
        <v>77</v>
      </c>
      <c r="C23" s="181"/>
      <c r="D23" s="182"/>
    </row>
    <row r="24" spans="2:5" ht="15" x14ac:dyDescent="0.25">
      <c r="B24" s="135"/>
      <c r="C24" s="136" t="s">
        <v>19</v>
      </c>
      <c r="D24" s="137" t="s">
        <v>14</v>
      </c>
    </row>
    <row r="25" spans="2:5" x14ac:dyDescent="0.2">
      <c r="B25" t="s">
        <v>71</v>
      </c>
      <c r="C25" s="4">
        <v>0</v>
      </c>
      <c r="D25" s="1" t="s">
        <v>78</v>
      </c>
      <c r="E25" s="141" t="s">
        <v>89</v>
      </c>
    </row>
    <row r="26" spans="2:5" x14ac:dyDescent="0.2">
      <c r="B26" t="s">
        <v>71</v>
      </c>
      <c r="C26" s="4">
        <v>1</v>
      </c>
      <c r="D26" s="1">
        <v>1</v>
      </c>
      <c r="E26" s="141" t="s">
        <v>89</v>
      </c>
    </row>
    <row r="27" spans="2:5" x14ac:dyDescent="0.2">
      <c r="B27" t="s">
        <v>71</v>
      </c>
      <c r="C27" s="4">
        <v>2</v>
      </c>
      <c r="D27" s="1">
        <v>1</v>
      </c>
      <c r="E27" s="141" t="s">
        <v>89</v>
      </c>
    </row>
    <row r="28" spans="2:5" x14ac:dyDescent="0.2">
      <c r="B28" t="s">
        <v>71</v>
      </c>
      <c r="C28" s="4">
        <v>3</v>
      </c>
      <c r="D28" s="1">
        <v>1</v>
      </c>
      <c r="E28" s="141" t="s">
        <v>89</v>
      </c>
    </row>
    <row r="29" spans="2:5" x14ac:dyDescent="0.2">
      <c r="B29" t="s">
        <v>72</v>
      </c>
      <c r="C29" s="4">
        <v>4</v>
      </c>
      <c r="D29" s="1">
        <v>2</v>
      </c>
      <c r="E29" s="140" t="s">
        <v>90</v>
      </c>
    </row>
    <row r="30" spans="2:5" x14ac:dyDescent="0.2">
      <c r="B30" t="s">
        <v>72</v>
      </c>
      <c r="C30" s="4">
        <v>5</v>
      </c>
      <c r="D30" s="1">
        <v>2</v>
      </c>
      <c r="E30" s="140" t="s">
        <v>90</v>
      </c>
    </row>
    <row r="31" spans="2:5" x14ac:dyDescent="0.2">
      <c r="B31" t="s">
        <v>73</v>
      </c>
      <c r="C31" s="4">
        <v>6</v>
      </c>
      <c r="D31" s="1">
        <v>3</v>
      </c>
      <c r="E31" s="142" t="s">
        <v>91</v>
      </c>
    </row>
    <row r="32" spans="2:5" x14ac:dyDescent="0.2">
      <c r="B32" t="s">
        <v>73</v>
      </c>
      <c r="C32" s="4">
        <v>7</v>
      </c>
      <c r="D32" s="1">
        <v>3</v>
      </c>
      <c r="E32" s="142" t="s">
        <v>91</v>
      </c>
    </row>
  </sheetData>
  <mergeCells count="8">
    <mergeCell ref="B16:D16"/>
    <mergeCell ref="B23:D23"/>
    <mergeCell ref="K2:M2"/>
    <mergeCell ref="K5:M5"/>
    <mergeCell ref="B2:D2"/>
    <mergeCell ref="B9:D9"/>
    <mergeCell ref="K3:M3"/>
    <mergeCell ref="K6:M6"/>
  </mergeCells>
  <phoneticPr fontId="3" type="noConversion"/>
  <hyperlinks>
    <hyperlink ref="J1" location="Model!A1" display="Back to model"/>
  </hyperlinks>
  <pageMargins left="0.75" right="0.75" top="1" bottom="1" header="0.5" footer="0.5"/>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Description</vt:lpstr>
      <vt:lpstr>Model</vt:lpstr>
      <vt:lpstr>Other Tables</vt:lpstr>
      <vt:lpstr>CostFixed</vt:lpstr>
      <vt:lpstr>CostVariable</vt:lpstr>
      <vt:lpstr>CPLocn</vt:lpstr>
      <vt:lpstr>CumCycleTime</vt:lpstr>
      <vt:lpstr>CumDefects</vt:lpstr>
      <vt:lpstr>CumVATime</vt:lpstr>
      <vt:lpstr>Defects</vt:lpstr>
      <vt:lpstr>Iteration</vt:lpstr>
      <vt:lpstr>ProcessCP</vt:lpstr>
      <vt:lpstr>ProcessDesc</vt:lpstr>
      <vt:lpstr>ProcessID</vt:lpstr>
      <vt:lpstr>Severity</vt:lpstr>
      <vt:lpstr>SimCycleTime</vt:lpstr>
      <vt:lpstr>SimVATime</vt:lpstr>
      <vt:lpstr>TBLCriticalPath</vt:lpstr>
      <vt:lpstr>TBLProcess</vt:lpstr>
      <vt:lpstr>TBLSeverity</vt:lpstr>
      <vt:lpstr>TBLSigma</vt:lpstr>
      <vt:lpstr>TotalCycleTime</vt:lpstr>
      <vt:lpstr>TotalDefects</vt:lpstr>
      <vt:lpstr>TotalVATime</vt:lpstr>
      <vt:lpstr>ValueAddPct</vt:lpstr>
    </vt:vector>
  </TitlesOfParts>
  <Company>Oracle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Value Stream Analysis Model</dc:title>
  <dc:creator>Crystal Ball</dc:creator>
  <cp:keywords>value stream mapping, lean, process simulation, simulation, dashboard, critical path, Crystal Ball functions, VBA macros</cp:keywords>
  <cp:lastModifiedBy>ewainwri</cp:lastModifiedBy>
  <cp:lastPrinted>2005-08-25T23:03:39Z</cp:lastPrinted>
  <dcterms:created xsi:type="dcterms:W3CDTF">2005-07-26T20:28:05Z</dcterms:created>
  <dcterms:modified xsi:type="dcterms:W3CDTF">2014-06-03T00:35:16Z</dcterms:modified>
  <cp:category>Lean Six Sigma</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