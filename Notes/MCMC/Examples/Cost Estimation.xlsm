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315" yWindow="165" windowWidth="13590" windowHeight="11385" activeTab="2"/>
  </bookViews>
  <sheets>
    <sheet name="Description" sheetId="1" r:id="rId1"/>
    <sheet name="CB_DATA_" sheetId="5" state="hidden" r:id="rId2"/>
    <sheet name="Model" sheetId="2" r:id="rId3"/>
    <sheet name="Module1" sheetId="4" state="veryHidden" r:id=""/>
  </sheets>
  <functionGroups builtInGroupCount="17"/>
  <definedNames>
    <definedName name="CB_067bb4e475c2495f86667d788cd14dcf" localSheetId="2" hidden="1">Model!$D$17</definedName>
    <definedName name="CB_0eca9b0ff9044a50a87b3445b514e9b5" localSheetId="2" hidden="1">Model!$D$16</definedName>
    <definedName name="CB_2047fd2741b649329298a8c735ac8ede" localSheetId="2" hidden="1">Model!$D$14</definedName>
    <definedName name="CB_29903f78b7d7484696d721b0851bd6ba" localSheetId="2" hidden="1">Model!$E$24</definedName>
    <definedName name="CB_37063ea6e7f04864a1bd50e394a69947" localSheetId="2" hidden="1">Model!$E$24</definedName>
    <definedName name="CB_3a15a416cc1943429bedafd51027d5f3" localSheetId="2" hidden="1">Model!$D$15</definedName>
    <definedName name="CB_4f9c0be21f1b4fd2b7961a9478e3247d" localSheetId="2" hidden="1">Model!$D$16</definedName>
    <definedName name="CB_7cc704f13d5049f69d7abdb6ca02dcb5" localSheetId="2" hidden="1">Model!$D$15</definedName>
    <definedName name="CB_98637d2d30f04017ac291ff9d00ff89e" localSheetId="2" hidden="1">Model!$D$14</definedName>
    <definedName name="CB_Block_00000000000000000000000000000000" localSheetId="2" hidden="1">"'7.0.0.0"</definedName>
    <definedName name="CB_Block_00000000000000000000000000000001" localSheetId="1" hidden="1">"'635301310550596574"</definedName>
    <definedName name="CB_Block_00000000000000000000000000000001" localSheetId="2" hidden="1">"'635301310550566573"</definedName>
    <definedName name="CB_Block_00000000000000000000000000000003" localSheetId="2" hidden="1">"'11.1.3833.0"</definedName>
    <definedName name="CB_BlockExt_00000000000000000000000000000003" localSheetId="2" hidden="1">"'11.1.2.4.000"</definedName>
    <definedName name="CB_f6cea11762b74f5498c31c4b7adbdd51" localSheetId="2" hidden="1">Model!$D$17</definedName>
    <definedName name="CBWorkbookPriority" localSheetId="1" hidden="1">-1067509804</definedName>
    <definedName name="CBx_8e9a22a7e57546f9af2498099f9cd99c" localSheetId="1" hidden="1">"'CB_DATA_'!$A$1"</definedName>
    <definedName name="CBx_938283364ddb4957a335f368be9f1343" localSheetId="1" hidden="1">"'Model'!$A$1"</definedName>
    <definedName name="CBx_Sheet_Guid" localSheetId="1" hidden="1">"'8e9a22a7-e575-46f9-af24-98099f9cd99c"</definedName>
    <definedName name="CBx_Sheet_Guid" localSheetId="2" hidden="1">"'93828336-4ddb-4957-a335-f368be9f1343"</definedName>
    <definedName name="CBx_SheetRef" localSheetId="1" hidden="1">CB_DATA_!$A$14</definedName>
    <definedName name="CBx_SheetRef" localSheetId="2" hidden="1">CB_DATA_!$B$14</definedName>
    <definedName name="CBx_StorageType" localSheetId="1" hidden="1">2</definedName>
    <definedName name="CBx_StorageType" localSheetId="2" hidden="1">2</definedName>
    <definedName name="Forecast">Model!$B$26</definedName>
  </definedNames>
  <calcPr calcId="145621"/>
</workbook>
</file>

<file path=xl/calcChain.xml><?xml version="1.0" encoding="utf-8"?>
<calcChain xmlns="http://schemas.openxmlformats.org/spreadsheetml/2006/main">
  <c r="A11" i="5" l="1"/>
  <c r="B11" i="5"/>
  <c r="P2" i="5"/>
  <c r="E24" i="2" l="1"/>
</calcChain>
</file>

<file path=xl/sharedStrings.xml><?xml version="1.0" encoding="utf-8"?>
<sst xmlns="http://schemas.openxmlformats.org/spreadsheetml/2006/main" count="43" uniqueCount="40">
  <si>
    <t>Project Cost Assumptions</t>
  </si>
  <si>
    <t>Item</t>
  </si>
  <si>
    <t>Min</t>
  </si>
  <si>
    <t>Most Likely</t>
  </si>
  <si>
    <t>Max</t>
  </si>
  <si>
    <t>Project Management</t>
  </si>
  <si>
    <t>Hardware</t>
  </si>
  <si>
    <t>Software</t>
  </si>
  <si>
    <t>Misc</t>
  </si>
  <si>
    <t>Project Cost Estimate</t>
  </si>
  <si>
    <t xml:space="preserve">Cost Estimation Template </t>
  </si>
  <si>
    <t>Cost Estimation Template</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</si>
  <si>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</si>
  <si>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</si>
  <si>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</si>
  <si>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</si>
  <si>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</si>
  <si>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</si>
  <si>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</si>
  <si>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</si>
  <si>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</si>
  <si>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</si>
  <si>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</si>
  <si>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</si>
  <si>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93828336-4ddb-4957-a335-f368be9f1343</t>
  </si>
  <si>
    <t>CB_Block_0</t>
  </si>
  <si>
    <t>Decisioneering:7.0.0.0</t>
  </si>
  <si>
    <t>CB_Block_7.0.0.0:1</t>
  </si>
  <si>
    <t>8e9a22a7-e575-46f9-af24-98099f9cd99c</t>
  </si>
  <si>
    <t>㜸〱敤㕣㕤㙣ㅣ㔷ㄵ摥㔹敦慥㜷㙣㙦散挶㑥搲愴㙤敡晥愴㝦㡥戶㜱㝥㘸㑡ㄵ㔲晦挴㐹㕡㈷㜱㘲㈷愵㉡挵ㄹ敦摥㠹㈷搹㤹㜱㘶㘶㥤戸㡤㘸㑢㑢愱㉤扦㝤㉢㔴戴㔴㔰挱ぢㄲ㍣愰ㄶ㡡㄰ㄲㄲ〸戵㠸㠷ち挴〳㔲愹㄰㍣㠰慡〸㕥晡㔰愹㝣摦㥤㤹摤搹㕤敦搸搹戴攰㈰㡦攳敢㍢昷㥥晢㜷捥戹攷㥣㝢捥㥤㈴㤴㐴㈲昱㈱ㅥ晥攵㤳㘲收摡挹〵搷ㄳ㘶㝥挴㉥㤵㐴挱㌳㙣换捤て㌹㡥戶㌰㙥戸㕥ㅢ〰㌲搳〶敡摤昴戴㙢㍣㈲戲搳昳挲㜱〱㤴㑥㈴戲㔹㌵㠹㝡㜶挲摦㥥昰㐵㘵慢慥ㄴ㤲愹㤱攱㈳㌳愷搱敢愴㘷㍢㘲㙢晦〹扦敤㥥挱挱晣㘰㝥挷敥ㅤ㍢昲摢戶昶㡦㤴㑢㕥搹ㄱ㝢㉣㔱昶ㅣ慤戴戵㝦愲㍣㔳㌲ち昷㡢㠵㈹晢㡣戰昶㠸㤹㙤㍢㘶戴㥤扢〷㜷敥摡愵摦㝤昷敥㉥っ㥤㌸㍣㌲㍣攱〸摤晤㠸晡㑣㜳捡㍢㐷㐵挱攰摡㠴㜰っ敢㔴㝥㘴ㄸ晦㈲昳挷摢㕤昹挹㔹㈱㍣づ㉤ㅣ㘱ㄵ㠴慢愲㘱愷㌹攴扡㘵㜳㡥挸㔳捤㌱㉣戵愰戹㕥摡ㅣㄱ愵㤲㙡㠶扤㘶捤㈳挰㕤㐹㕢攸㌲㈷㠵攵ㅡ㥥㌱㙦㜸ぢㄹ㜳ちㅤㄵ㜳收㜱㔷ㅣ搳慣㔳攲戰㘶㡡戴戹扦㙣ㄴ㔳晥㤳㘸扢㌵散㈲㍡㌱戹晣晣㤰㙢㡥捣㙡㡥㥣㤱㑢挴挴挰㡥㌹㠵㕡搸㥢㥡昷换愹换ㄱ搸攷㤶收㜰愸㌹愱㌹ㄵ挸㠱收㤰挱攲㙢㘷㜰㘷㜳昸〸㡥㙡摢摣摥扣㡤㐴㘵㉤戴搲ㄹ昰户挴㈸ㄶ愳㘶㤸戴㌳挹㌲㈱〱搵づ㈶㥤㑣扡㤰㈸愹㝦㘳㤷㐴ㅢ戲㉡㌹慤㈵愷㘷㤲搳㠵攴㜴㌱㌹㉤㤲搳㝡㜲晡㔴㜲㝡㌶㌹㙤㈴愷㑦㈷愷捦〰㈶㝣戲敤敤挹攰昹搷敤㙢㥥晡摥ㅦ㥦ㅣ㜹昵换扦㐸扣户晤挶摤㕤㙢〰㜴㌴㤸搴愸愳㥤〳慢㔵戹㜸㝢㝥ㅢ㝦㤶摥ㄵ搸ㄴ晡㉥晤㉥㝤㜰戰戸㙢㥢戶㐳㑢㜳㔹㌱挴慦㘱㤴ㅥ挰㜶改てㄸ㔶搱㍥㈷㘹㜷敤戰收㡡㉡攲〶㠲扡㘱扢㙣ㄵ摤㙢ㄶ慦㥣昴㌴㑦㙣慡慦慢㜶搲搰㙣ㄲ摢㑡戸㜲扣捤昵捤㑥㘸愵戲ㄸ㍡㙦昸搵搷搵㔵㥢ㄳ㡥㍤搳扣㜶捣ㄱ㘷㉢戵つ㌳ㅡ㠲㔰㥢㤷㝤㌷慣搲慦昲攷搵㍦㌲㙢扢挲㤲搳ㅢ㌰㈷㡣挲ㄹ攱㑣ち㡡㐴㔱㤴㑢㕤挷慡㘰搷てㅣ戱戰㔰散搶攲㡤搱㔲㝤摦㜹て㥢㔹ㄴ㌱摦㌹攱㜸ぢ㔳摡㑣㐹慣慦〱昱挷㐴挵挶㥡攲㌱扢㔰㜶㐷㙣换㜳散㔲㙤捤㔰㜱㕥㠳愴㈹ㅥ戲㡢㈲㤵㑡㐸愱〰㠱摢搶愶㈸㠹㍢㥡敦〵㐹㠸〸㠹戹㤱慦慥㘵扢晣㌱慣づ慢㈸〹昲㘴昲收㈵㍡攳㝣愵㡣㠹搹㠱㤱㌵㔱㝦㜰搰摢㤶攸戶㐲戹㡦ㄷ㌸㤹散つ㔶扦㙦㕥㔸摥〱捤㉡㤶㠴ㄳ慢晤ㄴ捥㐸敤㐶㤲扥〸㠱搰ㄴ㝢㔴㜵捡㜹㘵㈱㝤捥㈸㝡戳㤹㔹㘱㥣㥡昵㔰〶つ㤹捤ㄲ戵つ㡦㝡ㄵ㡡搴戵㑣㝡㤱㜴㜴㈴㌲㝤〴捡㜴攰㐹愴㈹㥤㘲昶㜲㡤㈰㘷扢㥡扤摣愵㡦ㄹ㈵㑦昸㐲戹㕢〷㐵㝣慤㈶挹㤷㈳㡢㍡㕡挱㔷ㄸ㝤晡〸戸㔴㌳㉣㙦愱扡㙦ㅢ㜶㠹捦㐴慢戲㘰挵挹〲㡡㠲㕡㜹㄰戳搷挰㌴㜵搲㈰ㅥ㌸挲㐴摣〶㌱㥡ㅤ㍤搷㌲ㄹ攱㘳㘴〴攰愳㑣㐸攸㙤捤㘵〴㤹扤㤱㐹搹愸改㝥㕣㤵㘶㡢搹昲扥㌴㕢〷挴愹敢㤹㙣㘰㜲㌵㤳㡤㐸㤴扦㐱挲㔱捡㈱㕦晢愸搷攰㕤扤㤶挹㜵㐸㈰㥦㔴捡㥣㐰㔴搱㠶㕡㡥ㅤ㐹戸ㅣ散㘴㘹ㄴ晢愲㠸㤶㜱挵捥捣㤹㤲搰㠱搵戹㌲㜴㙤㑡敡搸㕢㥡昳㘶㜴㌹攴挸ㄸ搰攸㕡㤷〰㡤㈲㠲愰㉤敡慤敢搱㔴敤㘷㜲〳ㄲ㕦戱搰搸㕤㥥㌵㑦㜳昲㡡㌰㠹㝣㐳愸㐵攵ㅥ㌰㌱捤晦ㄸ〱搷㜰㜴㔹戵㥦㘹ちづ攸㔷扣晤扣戵昹摥づ㠸㕥愷㌳㔷㜵づ㝤㐵㤷㘸㐱摦㠸敤愵晣戹愹㝥戹ㄹ搵敡ㄶ㈶户㈰愹搳㉦㍣㜹㕦慡㤷㐰㥡挴㘶㠴㜲㙢改㜱㤱ㄶ敥搴挲㥣㤰摡愷㑢㥦搲㥣㔳挲㠳昷攲攰㈸散㘰摢㜱㐴〹〷摡愲㉣攰搹㘵㐳㙤愱㍢收搸㈶换㔷敤㘳昷㡡㔰っ愹㔴戲㉤㔱㘷ㅦ挷搸㤹ㄱ㝦㔳㠴㜳愸㝦㜷㌴ㄷㄲ㤱㐶戵散挵㜶昱㘷换㔵㐹搲㠲㈴戹つ㘸㔵㙦㐷〲㈹愱晣愱愹㐴ㄹ㈰搸㔶〹㔶㙢慤搲扢ㄷ㜳㌲愹昳ㅦ㌶挸㤱㑥摦㔹㍢っ摦㠱㥢㌳㈷つ戳㈲㉣㍡捤〹攱ㄴ攰㔷㌰㑡愲挳㜷挹㔲搴慣捡㡡㉢㐴㔶戴戵㌵㥣愵㘳㝣㙢㤲㑦敡愴㐴散㙥㡦慤㡣㌹㠷㔷㤹㡡㉥㐸ち㤵ㄸ户㔰㐵〲㤱昳〸扢㉡㘲㕡㄰㌱㜹㈰㑥扤㤳挹㌶㈶㠳㐸搲扦㠳愴㔹㉥攲ㄹち㙢㥦愷㍢㝢㝡㍡㤱㈵ㄹ愴㝢昰慤愶挲㙡㈷㠷搹挵攴ㄳ㐸敡捣ㅦ㍡ㅦ㘳ㄸ㔱㤲㍣挲㠸戴㤶㔴晤㠴㈱捥㤱〷搶攸〸㉡㡤㤴㕤捦㌶ㄹ㔵捡改愳昶㘱摢ㅢ㌵摣㌹㐴愱㝡昵㈰昳挰慣戰挰㕤づ㙣㥦扡㌲㝢㙥㑥ㄴ㔵㝤搲㉥㐳戴ㅤㅣ㕤〹㠷㜲慣て戶愴㍣㤷㈷ㄵ㍣慤㥤㡤搱㠵㈲㑦挴昰戵搲ㄳ扢㉣捦㌷て㝤摤㔵㡣㑥ㄹ㕥㐹㜴敡晥愶㘳㍥慢〳㡢㠸ㅡㄴ摢昵愹㔹㐷㠸搱㥣扥摦㌱㡡㈵挳ㄲ㈴〶㙣㑣〶敡挶挵㈹㐴〸㈶㙣挶晦㙣㉢愷㑦㌹㥡攵捥㘹っ㈶㉥慣慤㜹㤳㈱㤱戴㍥㙣㔸㉥㠶㤱㔴㘴扥㕢㥦㥣戵捦㈱㕡㕢㌶慤晤摡㥣扢㈲愸㐲愶昷ㅦ㐹ㅡ㈵愹㈴㤳㑡㌶㤹㙤㤵㍥㍣㤰㈷ㄲ摢昱㥢㘲㈲㘹㤵㐸搳㕦ㅥ愳扤㘹搷〷昱ㄹ摡改㥣㔳ㄷ㈲㐷㤵挲戶㔸㈹捣㥤慡敥㘶㥢扢㤱摣户晦昸挱㙡㔴敥戲攲搵㘹㝡昸㘳㘴扣㘴㡢㑡㄰㠴晥戹㌵㍥慢戰㡣㥣㠳ㅤ〸㡡昳慤㥥晤㍡㜴〹㐳敥㕢㔳捤㡥㈱㡡搴愵㡦㙢㌳愲㠴㔸戴愹㜹㙢晣ㄷ㥡戱愶㔶㜲㠳扡ㄱ摢㌴㌵戲ㄶ搹㜲戲愰㤱㠳㠷捡㥥㝤挸戰㔴ㅤ㠹攴扦愰㐸㍢㡦㈲敤扣㉣敡搲㡦㌱㉣㈸昳散换㍥愵㌹㠶㌷㙢ㅡ㠵㉣㕦ㄸ扡㕢ㄱ㍣㠹㑤㑥挹ㅢ㍥愱捣攸慦戳收㡦挳㘴㜳昳㈰㜷ㅥ㜲㤴愸㈳昹挱戹㐹㈵㠳ㅦ愵㐵挷ㄲ〴㡣昴㤲慡昷愰户戴扣ㄹ〱㤱㈳㥦㡢攱晤㡢㡢㡦愱挴昷换㤱敡㌱㉣〲㡦㘰㐴挸搳扤㥤搱㡦㕢㠶〷敡㤱㘲㘳㠶㌷敡㠲攴㐸㤰㤵挷摢㑤㤲慡㤱㐶〳ㄵ慤㜰㝤㘳㔵㡤㥡搸摣㔸ㅦ搵ㅢ㌷㉦㔲敤㙢㤴㠸㈲㔹ち㐸㙡㤶㐵收戸㤲㔴㡤㈲ㄵ㜷愸㙤㤴㌸户㘹ㄵ敦㤴㈲㤷愱㤸㈴捦㈴搴㍤㤲㔱㄰攴㈵㜷㐰㐷搱㕦ㅦ捦ㅥ㤱㘸つ㙤㠰づ敡㈹扦㉣ㄷ㠴〳て攲捡㐹㔱㜴〴㙦搸摦㙢㠲散㤱戲㔷㔳愳㥤敦つ㙡㠶㑡愵㈳ㄶ慣㠴㠲收ㄴ㔷挸㤶挶摡㝣つ㈳㜷㘷慢摡摦㐷㙦㘴㈳〶摢㤰㈱㤱ㄸ㍦㌰戶㈱㌶㔷㈴㥡㑡敢㉣㐷㔴㔷㡡戳㝣㍢㈴㌴㑢㔲㘰搲㉢㡥㡡㜹㘹㠶㔵㉤昹㕥搹愰㜲㕡㤴㜲㔴搵㠷㘶㕣愸㜴㡦㜲㍣挸挹つ慥敡挷攸㤶挲〵〶㠸摤㈰㌷㔱昰㄰搶慤㜴挰㤳挱捡愱づ㌰攲㠷㑤㘸㥤㔱㠲㘶㘲ㄸ户㜶ㄱ摣㍢㉤㔲ㄴ㠲㔴㤷捦㝢㝢㤵㙦扥挰攷〷㝢ㄳ㘱㈶搸㐴っ㜵挵㔸て㈰㙥㌴㉡挹㕤搴ㅢ〶换㝤挹㈶㠵㔶㔷㔸㐶ㄳ㈳㐷㤳捦昱㜰㠳㠷㜱慣㙥㙥㥢ㄲ敥戸㜹〶戴㘹㘹㘱㡤㝥搰㉡㤴捡㐵㈱㔵㜱㈸慢愵㐶㕥ㄱ昴㤲搷晦晣摤ㄴ㠳㤷〰㈹〷㜱㤴攲㤲㐹愴搶敤㙥昵㔳㘸㉥㠵ㅣ晡昰㘵ㅢ㠳㡦㌱㙥㌹ㄹっ㙢戸愳㐰晢㜰㙤昵昲㠲扣㌸〷㤱搶㔰㐴㔹㌶㡥扢㜸㤵〸戲摣㙤ㄱ戰㜱㝢摣愶捤ㅥ㈹㍡㘰昸㐵㉢㠲㐶㔸愷㉦昰㌲ㄹㄸ㈳㉤敥づ㜶㤲戸ㄸ㐴㜶㉦㍥㈶㕦ㄳㄷ昷〶挶㠷挲昸㉥㑦㐱〹㘰ㄵㅢ㠹〶㜷戲㙡㜵㉢㡣晣搲昲㔶敦㐵愲㌰〴㑣㠳ㄶ㤰扥㠱㌳㡣晣搲〶づ㠳㤱㌱搱搱㘸㈰㤵㌱捡㕥㌸散㐱㌴散㈶ㅥ愴愷㙣㈸㈱慦㑦㕥ちぢ敦㈵づ㤸㌸〲搹捥晡扡挲〹捤挳搵ㄷ㙢㘳㕤昱㔰戱㐸㜳ㄷ晥戹ㄵ㐱㔵㕣摢昰捤搱扥扡ぢ㔹㜲㑤戴敦㙥慡慢〸㉥ち㙥ㅦ捤ㅦ搰扣挲散愴户攰㕦摡㙡㤵㈵搲㍦㠷㍦㘲搱搱㘹㌳愷㉣㕥㐲㥤㈷敥㍢捥㔸昶㌹㑢捥㉢敤昲挶ㅦ慤㔸戵扤㥤㤳散㐸㝣㠸ㅦ昹㈴ㄳ改㌷搰攳㜲愶捤づ慡づㄲ昶㈳ㅦ㕦ㅡ昴㈳ㅦ挳㈷戰摤㉢㌷〶挸㈷㝤㜵㝣㈲〵挱㉡愳㔸愷㍥㌲㐶㔱㝥〶戲㤲㔹晣㈳㌹㜰晥㉡戶扥昲㔳㤴㤰攰㜸て挴㐸晡〶攴㘲㐸㈷〵㜹㜰扤㠳㤷㐱晥㝦愸ㄴ敥收㐵户搳㝦㘱㌳㉢慦搷㤳㘸㌳㐹昴㕡㈳㠹ㄸ㠸扤愴㤰㌷㘷扦㝡搴晣搸慦昵晥て㡦㥡昷㠱挲㝣愴㌵㠶愰ㅡ㠳昱ㄵ㘳㈰搹㘰っ㙣㐱戵㌴〶敥㘷ㅢ挶敢㝤㘳㈰昰㜶ㅣ㐲挱搲挶〰愳㜸㌱㈶㕦㈴愸ㅡ㜱㘰昰慣戵摥愴㈷散〰慥搷ちㄷ㤱㝢愸㈷㜷〴扥愷つ㡤挵ㄳ㥡愳㤹ㅢ㘵昹㝥㐷㐰㙤㌹㔳戸慦㉤㥢戰挵愶㐵㙢㘴愳㐵扣ㄲ愱㍦㝤搵㜳戲扣㕢敡愰㤴晦昸㡥㝡㈵慢㘴㉥挳㈷愲昰㠴㤰㜸戴敦㠷晢晦昲挸㔳㝢㜹㉦㉤攰搵㌴〳挱慤〴攷㘹㌹㈰㝣ㅢ戹ㄲ戲㡥㥦摦ㅣ挲㠷㐸挶㕣㐹っ㙢㡥戴㜷㕣搵っ戳㍥攳㐵ㄸ搳㘷扥㤵㘰㑣攲㠶㠳㙦㑣收敢ㅣ㥢昲昳㈵改っ捣㐷㈶㉥扤㜷㘱㠰㔰㘹慡戲㕡戴㉢搳㍦㠶搲戹挴㠹搴摡㠳㍣㕦昲㔱㤴ㅦ搵㙢戵㕤搴㙡搲㑣㔴〶〰ㄱ㑡㈹㐴ㅡ挸㈱搱㈳ぢ㐳晦㔲㑡㑤㈰㤳捥㈳㠹㠹愱搵〷㜳㜹昲㕦ㄵ〲愲㜲扤慦挵㑦㔵㠰㐵㔰㌱昴扡户㝡㜶愵搵ㄹ慡㈶〶㘵攵改攳㈸㌲昲㤸挲〲㐶㘹㘵改㌱㘴挲㈷㍤㠸摣戲ㅤ㑦ㅣ㈴㘷晡㈱㌶㝦㘳愷㑤㝡搵㍡捣㝤㔶ㄹ㜷㍣愰㘷㌲㔲㘱㔸㙢㔹㡣愳愷㡣挶昹愰ㅤ㝥ㄱ搳㙥㍦㕢㘹搴ㄹ㔴㐱㘷㔹ㅢ㜱晥㐴㤸㡦摦〳戱㝥愰摡昵扡晡ㅡ敡㌸慢ㅤぢ攴㉦散慦捤㌱ㅢㅢ愳㜲挷㐰挲㉥ぢ㉡敢㕦〲㥦㐴ㄳ㘹捦㉢㙡㌵换戱ㄴ㠵搱攸㜰㘷戵㌵敡㝦挶愹攵捥㥡㈲㌴〳搶㌵晡晦〴ち㤶搴晦ち愳㙣㤲㘴て〴ㄹ扥愴ㄹ㈹㔹㌲㌸㐳㡣挰㠷㡤㌰㡤㍣〲慢㌲换攰戶㥦㥢挴㈷慡㝥戵㤴攰昰㜰愵敡㉦㐱㔴摡搲戶敤㙣㉡〰ㄹ〵㑡㝦ㅦ㈲愸㘹㝢㑥扡昱ㅣ㥢㜹㄰挵㝤㠷㡣㠲㘳扢戶敥昵㑦㈲扣摢捦㉦捣㜴搸㍣㐳捡慢昵㐲敤㈶㘰愲敢㈱戴㌹㝣〴〲晢戰昰㍥慡愸㈳㘳〸换㡢㔹昰㙢愳㥥㐸㈰㠹摡挱扤㑡㍦㕡搶㑡昸㐰昵〸扣㥡ㅥ㡢㔶㠴戲昳㝤换昵㜷㌱㠸㍡摣挶扡ㅦ㥥ㅦ㔱捡㈳っ㈶㤷昰搰挳挴㙢㍤づ㙡㘱㠳戵戹㠴㙣捤扢搶㤱晥㉥㘸扡扣㔱㙡㔹㠶㘳昲扢攳づ昵㘱愶㠸昳搰㍢扡㝣㔷㉣㝢敢〵㥦〷㥦㙤搳攵㌵㔰㠲愳㙣改㌸㜷㠷㜲㉦摡戲扤晡搹㈰挳ㄷ㠵扥扣㝢㤸昹づ㤶㐴收㐷㍥㤱㌹㠹愴㌹㐷扦〴戰ㅡ晦〰㌹㕡攱戱㠲ㅣ搸愱㝣ㅢ昵挴㤰扦搲〲换㜰捣㤰挷〷攴搵㈲㤲昰㔱㜸㝣㤰攳㝦ぢつ㉡攳㘳攷挴㡣晦挲愲攳㔳昱换昵捤㠶㥤攳㙦㑦愸㌸㔴〳㙦敡㘹㈶㘷㤸㤴㔸ㄹ敡㡦㙥㡡㐴捡㤹㡣ㅦ㐰㜸㝤㉦昲㜸㝥ㅦ晣㝤㘷敦㕢㙦昲昹攷㕥㐵ち㐱㔴愹愶㠴昰ㄳ㠵㐲㔰慥攲昹攸㉡㙣㤴㌶挷攲搷ㄷ㕢㐵て攵㈳慦㥤愸㘷㤱攴扡ㄵ昲㠹㕣㤵ㄳ㘴昸搲㐳ㄲ㑡㈸ㄷㄹ㐰ㄱ挷ㄲ捡ぢ㌲ㄲ㡡㠸㈶㔴慥愷㠷㌸昱戳㘹㈲㈲收昳ㅤ㘹ㅢ昱扡㈳㍤㌶ㄹ摦攵㥡昱㌵㘲搶っ㝣慤㉢㐲㉥〴㕥昲愶攲㍣搳㘲ㅣ㕦㜹慥㥥㌰㕢㠰摢ち㘳昸搶㈸ㄹ㠹㠸㔴㥥慤〷㍥㉢〹㠱㉡㜲㡦て㑣㠶㤳挰捦搴〳扦㔲〱㝥㈷〴㈶㘳㑡攰㉦搵〳㍦〴攰㤰て晤㥥㝢挸㠴〱㔹挹㉦㌱㈶慦㍣〴㐴㍥挷收搹㍡慤㔳㡤㜶敡㝥㌱〵愸㡣ㄵ㤷愴㈲敤挲敤て〷ㅦ㐴㡦攳㌲ㄳ敥㝣㐰搶晡晦㉦挲㐱㕣㜲ㅡ搵㍣つ摦㍢捦㈳扡散愸昲㡤㡤㌳晡ㄱ〷〵敤晡㐱ㄷ㐷慢攲㡡攲ㄶ㔸〵㈹㕥挹〸㤸㈶搹㤴㙢㘲㉣挸㉡㍥挲愸㔸㤲㤷㐶㕡搳㈱㌲㤲㤲㔲㥥慥㄰昹昱慡㕦㕤㝤ㄴ昳㠴挴㤴昳㠵慥戸㠰㡣ㅦ㜹改㘳㔱て㐵〱愵㤵晡㌹㈴戹㌶㠵㐲㠰攴捦㍣㠶愴㍢晣捦㈸晡攷愵户㈴愹㍣ㅥ㡥昱㡦敤ㅢ愵㜸挷挹㈹愱㍥挱〶㥦㐷搲〶㌷慤攲攳〶㘳㍤㠹㤲攸㔸ㄴ㈸㜲慣㉦㈰㤳㙢㑢㜳㙡换挶ㄱ㔷搰㥡扡㔲㥦㐶㔳㠵ぢ㘷ㅦ敡ㄷ㠳っ㕦搲㕣昵㍤捤つ㘴㥥㝦挳㙦昶ㄱ挹慣昹㌸㝦ㅦ㍥戶㕦攰㕡摢昰㝦㡤愴愵㌵㥦㑡㝥戲戵扥挸昲㌴挴攵敦㜹攰昸㌲晡攱扡慡㠶㈵㝢愴收㔱㥦㐱愲㍣㠱㠴㔸㔷㥦攵ㅢ改㈳㔱昲㕣㤰攱㡢㐲攲㄰㉤㡡㠷㜹㜰㉥戲昹㔷㔸㈲ㄱ㠹㡣晡㔵㈴攱搳㐳㠴㑡戲㝥つ㤹㕣㕢㌷㐷愲敡㐹㥥㔷ち㈷㡢㈷㑦扥摦㥤敡摦㤴晡昴扤㕤㉦扣昳摢㜷㥦㝦晢㌳㝢晥晥挱㡢㉦扥晤搷攷摦晣攰㡤㤹㍤扦㝥攵㤵㕦摤昷搲㥢敦慥搵㕦㑥晥攴晤昱㤷㉦っ㥥戹㜰㔶㍦㝥挷晥ぢて㥥㍥㍡㌸㜱搵㐰㕢㕢㝢晢慤扤扦戹晡戶㥥挷捦扥愶晣昲㑦ㅢ㉣㐵㑥ㅥ〳搴㑥㠳㡢㤰搳昸〶㌲㤸〶㘷晣㜱㑥愳㈷㐴㠲挲㜵㑢㡣㔹〱挶㠶㔱㤰㠵ㄹ挳㤹挸ち戳戶愲昳㍦㈴ㄶ㠷攳</t>
  </si>
  <si>
    <r>
      <t>Summary</t>
    </r>
    <r>
      <rPr>
        <sz val="11"/>
        <rFont val="Calibri"/>
        <family val="2"/>
        <scheme val="minor"/>
      </rPr>
      <t xml:space="preserve">
This model sums several line items to project total cost. The primary objective of this model is to demonstrate how macros can be used to build templates. This lets spreadsheet users, who may have a limited knowledge of Excel and Crystal Ball, run a basic simulation and view the simulation results.</t>
    </r>
  </si>
  <si>
    <r>
      <t>Keywords:</t>
    </r>
    <r>
      <rPr>
        <sz val="11"/>
        <rFont val="Calibri"/>
        <family val="2"/>
        <scheme val="minor"/>
      </rPr>
      <t xml:space="preserve"> VBA, cost estimation, Developer Kit, project cost</t>
    </r>
  </si>
  <si>
    <r>
      <t>Discussion</t>
    </r>
    <r>
      <rPr>
        <sz val="11"/>
        <rFont val="Calibri"/>
        <family val="2"/>
        <scheme val="minor"/>
      </rPr>
      <t xml:space="preserve">
This simple example requires the user to input the minimum, most likely, and least likely values for each item. Click on the "Risk Analysis" button to define assumptions and run the simulation, or open the Visual Basic Editor to view the code. You can see the assumption details in the Excel notes for each cell.</t>
    </r>
  </si>
  <si>
    <r>
      <t>Using Crystal Ball</t>
    </r>
    <r>
      <rPr>
        <sz val="11"/>
        <rFont val="Calibri"/>
        <family val="2"/>
        <scheme val="minor"/>
      </rPr>
      <t xml:space="preserve">
Crystal Ball simulates the uncertainty in each cost line item and helps you to determine the probability of over-running the original single-point estimate.</t>
    </r>
  </si>
  <si>
    <r>
      <t>Using the Developer Kit</t>
    </r>
    <r>
      <rPr>
        <sz val="11"/>
        <rFont val="Calibri"/>
        <family val="2"/>
        <scheme val="minor"/>
      </rPr>
      <t xml:space="preserve">
The Crystal Ball Developer Kit automates the basic set-up and running of the simulation at the single click of a button. The Developer Kit contains the macro command and function libraries used to call Crystal Ball from within a VBA program.</t>
    </r>
  </si>
  <si>
    <r>
      <t>Copyright Information</t>
    </r>
    <r>
      <rPr>
        <sz val="11"/>
        <rFont val="Calibri"/>
        <family val="2"/>
        <scheme val="minor"/>
      </rPr>
      <t xml:space="preserve">
Copyright © 2004, 2015, Oracle and/or its affiliates. All rights reserved.
Oracle is a registered trademark of Oracle Corporation and/or its affiliates. Other names
may be trademarks of their respective owners.</t>
    </r>
  </si>
  <si>
    <t>Learn about model</t>
  </si>
  <si>
    <t>㜸〱敤㕣㕢㙣ㅣ搵ㄹ摥ㄹ敦慥㜷㝣㠹㑤散㈴㈴㐰㌰㤷㜰㜳戴挴戹ㄴ㈸㑤㠳㉦㜱㘲㜰㘲㈷敢㠴㈲㑡㤷昱敥ㄹ㝢㤲㥤㔹㘷㘶搶㠹㈹㠵㔴愵〵搴㔶〸摡㠷㠲㘸㡢㘸㠵攸㑢愵昶愱㠲ㄶㅥ㉡㔵㉡慡愰敡〳慡搴㑡㤵㈸慡摡㠷㔶㔵㈴㕥㜸㐰愲摦㜷㘶㜶㜷㜶搷㍢㜶㌶搰㍡㤵挷昱挹㤹㜳㍦晦晤晣晦ㄹ挷㤴㔸㉣昶㌱ㅥ晥捦㈷捥捣搵㤹㈵搷ㄳ㔶㝡戴㔸㈸㠸㥣㘷ㄶ㙤㌷㍤散㌸晡搲愴改㝡㙤㘸㤰捣㥡愸㜷ㄳ㔹搷㝣㐴愴戲㡢挲㜱搱㈸ㄱ㡢愵㔲㥡㡡㝡づ挲摦摥昲㡢挶㕥㕤㜱㈴㌳愳㈳㔳戳愷㌰㙡挶㉢㍡㘲攷挰㐹扦敦晥愱愱昴㔰㝡捦㥤㝢昶愴㜷敤ㅣㄸ㉤ㄵ扣㤲㈳昶摢愲攴㌹㝡㘱攷挰㜴㘹戶㘰收敥ㄳ㑢㌳挵搳挲摥㉦㘶㜷敤㤹搵昷摥㌹戴㜷摦㍥攳慥扢敥散挲搴戱愳愳㈳搳㡥㌰摣㑦㘸捣〴㤷扣㜷㑣攴㑣敥㑤〸挷戴攷搲愳㈳昸ㄷ㕡㍦摥敥㐸㘷收㠵昰㌸戵㜰㠴㥤ㄳ慥㠶㡥㥤搶戰敢㤶慣〵〲㑦戳挶戱搵㥣敥㝡〹㙢㔴ㄴち㥡㔵ㅥ㌵㘵㑤〱㜶〵㝤愹换捡〸摢㌵㍤㜳搱昴㤶㤲搶っ〶捡㜷㕢㈷㕣㜱㕣户攷挴㔱摤ㄲ〹敢㔰挹捣挷晤㈷搶㜶㜳㜹㠸昰挲攴昶搳挳慥㌵㍡慦㍢㜲㐵㉥〱ㄳ搱㜶摣挹搵戶扤愱昹戸㕣扡㥣㠱㘳敥㘸摥づ㌵㈷㜵愷搲㜲戰㜹换㘰昳戵㉢戸扤㜹晢㄰㡣㙡晢摣摡扣㡦〴㘵㙤㙢愵㌳愰㙦〹㔱㙣㐶㑢㌲㘹㘷㤲㘲㐲〴㙡ㅤ㑣㍡㤹㜴㈱㔱攲ㅦ㠰㑢挲ㅤ㔹愵㘶㜵㌵㍢慢㘶㜳㙡㌶慦㘶㠵㥡㌵搴散㥣㥡㥤㔷戳愶㥡㍤愵㘶㑦愳㑤昹㐹戵户慢挱昳挱㕢摦㝤㜵㙦㑣ㅤ晢搱攷㍥摡扥改捦㡦扤搹戵〱㡤㡥〵㡢ㅡ㜳昴戳㈰戵㉡ㄵ敦㑥敦攲捦捡㕣〱愶㌰昶ㄹ㜷ㄸ㐳㐳昹㝤扢昴㍤㝡㠲摢㡡㐰㝥つ愱昴愲㙤㤷㜱扦㘹攷㡢㘷㈵敥慥ㅥ搱㕤㔱〵摣㘰㔰㌷㔲㉣搹㜹昷慡攵㉢㌳㥥敥㠹㙤昵㜵搵㐱ㅡ扡㘵挰㔶挲㤵昳㙤慦敦㜶㔲㉦㤴挴昰㌹搳慦扥愶慥摡㥡㜶㡡戳捤㙢挷ㅤ㜱愶㔲摢戰愲㘱〸戵㐵㌹㜶挳㉥晤㉡㝦㕤〳愳昳㐵㔷搸㜲㜹㠳搶戴㤹㍢㉤㥣㡣愰㐸ㄴ㜹戹搵㑤慣ち戸㝥㜰捡挶㐶挱慤昹敢挳愵挶挱㜳ㅥ㤸㔹攴戱摥〵攱㜸㑢㌳晡㙣㐱㙣慥㘹攲捦㠹㡡慤㌵挵攳挵㕣挹ㅤ㉤摡㥥㔳㉣搴搶っ攷ㄷ㜵㐸㥡晣㤱㘲㕥挴攳㌱㈹ㄴ㈰㜰摢摡ㄴ㈵㜶㕢㜳㕥㤰㠸〸愱㤸㡣㝣㘵㉤搹愵㡦㘳㜷搸㐵㐱㤰㈶搵ㅢ㔷ㄸ㡣敢㤵㌲㈶㠲〳㐳㝢愲晥攰愴户慣㌰㙣〵㜳㥦㙥㘳㔵敤ぢ㜶㝦㜰㔱搸摥㘱摤捥ㄷ㠴ㄳ愹晤ㄴ慥㐸敢㐱㤲戸〰㠱搰ㄴ㝡㔴㜵捡㌹㘵㈹㜱搶捣㝢昳挹㜹㘱捥捤㝢㈸㠳㠶㑣愵〸摡㠶㐷扢〲㐵摡㐶㈶㝤㐸㍡㍡㘲挹㝥㌶㑡㜶攰㠹㈵㈸㥤㈲㜸戹㐶㤰戳㕦つ㉦㜷ㄹ攳㘶挱ㄳ扥㔰敥㌱㠰ㄱ㕦慢㐹昴㜵㤳㐴ㅤ㍤攷㉢㡣㝥㘳ㄴ㔴慡㥢戶户㔴攵摢〶㉥昱㠹㘸㕤ㄶ慣㌹㔹㐰㔱㔰㉢て㈲㜸つ㐴㔳㈷つ愲ㅢ㠷㠸㠸㙣㄰愱搹㌱㜲㉤㤱戱㝤㠴㡣㐰晢㌰ㄱ戲昵慥收㌲㠲挴摥㐸愴散搴㤴ㅦ搷愵搹㜲戶扣㉦捤㌶〱㜰摡㘶㈶㕢㤸㕣挹㘴㉢ㄲ攵敦㤰㜰㤴㜲挸搷㍥摡㔵㜸搷慥㘶㜲つㄲ挸㈷㡤㌲㈷㄰㔵戴愱㔶㘳㐷戲㕤㌷散㘴㘹ㄴ晢愲㠸㤶㜱挵捥散戶㈴愲〳慢㜳㙤攸摡戸搴戱㌷㌵愷捤昰㜶㐸㤱ㄱ㑤挳㝢㕤愱㘹ㄸ㄰㙣摡愲摥扡ㄶ㕤戵〱㈶搷㈱昱ㄵぢ㡤摤搵㔹昳㌴㈷㉦ぢ㤳挸㌷㠴㕡㔴敥〱ㄱ搳晣㡦㄰㜰つ㐷㤷㜵晢㤹愶攰愰㜱搹摢捦㍢㥢昳㜶㠰昴㍡㥤戹慥㜳攸㉢扡㐸ぢ晡㝡戰㤷昲㤷愶晡攵㐶㔴㙢㍢㤸摣㠴愴㑥扦昰攴㝤戱㕥〲㘹ㄲ㕢㈱捣㙤愴挷㐵㕡戸㌳㑢ぢ㐲㙡㥦㉥㘳㐶㜷收㠴〷敦挵挴ㄸ散攰愲攳㠸〲づ戴㜹㔹挰戳换㤶摡㐲㜷摣㈹㕡㉣㕦户㡦摤换㐲㌱挴攳㙡㕢慣捥㍥㡥戰㌳㐳晥愶㄰攵㔰晦敥㘹㉥㈴㐲㥤㙡挹㡢晤愲捦㤶敢㤲愴〵㐹㜲ぢ挰慡摤㡡〴㔲㐲昹㘳㔳㠹㌲挸㘶㍢㘵戳㕡㙢㤵摥扤㠸㤳㐹㥤晦戰㐱㡥㜴晡捥摡ㄱ昸づ摣㙥㉢㘳㕡ㄵ㘱搱㘹㑤ぢ㈷〷扦㠲㔹㄰ㅤ扥㑢㤶愲㘶㕤㔶㕣㈶戲愲慤慤攱㉣ㅤ攱㕢㤳㜴㔲㈷㈵㈲戹㍤戲㌲攲ㅣ㕥㈵㉡扡㈰㈹㔴㈲摣㐲ㄵ〹㐴捡㘳摢㜵ㄱ搳㠲㠸㐹〳㜰摡敤㑣㜶㌱ㄹ㐲㤲昸㍤㈴捤㙡〱捦㔰㔸晢㈲摤搹搹㙣㉣㐵㌴㐸昷攰㍢㑤㠵搵㕥㑥戳㡦挹㘷㤰搴㤹㍦㜴㍥㐶㄰愲㐴㜹㠸㄰㘹㉤㘹挶㐹㔳㥣㈵つ㙣㌰㄰㔴ㅡ㉤戹㕥搱㘲㔴愹摢ㄸ㉢ㅥ㉤㝡㘳愶扢㠰㈸㔴㥦ㄱ㘴敥㥦ㄷ㌶愸换㠱敤㔳㔷㔶㕣㔸㄰㜹捤挸ㄴ㑢㄰㙤ㄳ㘳㙢攱㔰㡥晤挱㤶㤴攷㜲㔵挱搳摡搹ㄸ㐳㈸昲㐴っ㕦㉢㍤戱慢昲㝣昳搰搷㔳㠵攸㡣改ㄵ㐴愷攱㌳ㅤ昳㈹〳㔰㐴搴㈰摦㙥捣捣㍢㐲㡣㜵ㅢ㠷ㅣ㌳㕦㌰㙤㐱㘴挰挶㘴愰㙥㔲捣㈱㐲㌰㕤㘴晣慦㘸㜷ㅢ㌳㡥㙥扢ぢ㍡㠳㠹㑢ㅢ㙢摥㘴㐸㈴㘱㡣㤸戶㡢㘹㈴ㄶ㤹敦㌱㌲昳挵戳㠸搶㤶㉣晢㤰扥攰慥〹慣㤰攸晤㐷愲㐶㔱ㄵ㔵㔵㔲㙡慡㔵晣昰㐰ㅥ㡢敤挶㙦㥣㠹挴㔵㉣㐱㝦㜹㠴昶愶㕤ㅦ挴㘷㘸愷㜳㑤㕤㠸ㅣ㔵ち摢㈲愵㌰㌹㔵扢㤳㝤敥㐲㜲敦愱ㄳㄳ搵愸摣㈵挵慢ㄳ昴昰㐷挸㜸㐹ㄶ㤵㈰〸晤㜳ㅢ㝣㔲㘱ㄹ㈹〷ㅣ〸㡣昳慤㥥晣㍡っ搹㠶搴户愱㥡ㅤ㐷ㄴ愹换㤸搴㘷㐵〱戱㘸㑢昷㌶昸㉦㌴㘳㉤扤攰〶㜵愳㐵换搲㐹㕡㈴换㑣㑥㈷〵て㤷扣攲ㄱ搳搶っ㈴㤲晥㠲㈲晤ㅣ㡡昴㜳戲愸换㌸捥戰愰捣㜳慣攲㥣敥㤸摥扣㘵收㔲㝣㘱攸㙥㑤搰㈴㤸㥣㤲户晣㤴㘵挶㐰㥤㌵㝦〲㈶㥢㥢〶扡搳㤰愳〴ㅤ搱て捡㔵㤵㈴㝥㤴ㄶㅤ㑢㄰㌰搲㑢慡摤㡤搱ㄲ昲㘶〴㐴㡥㝣㉥㤴敦㕦㕣㜸ㅣ㈵扥㕦㡥㔸㡦㈰ㄱ㜸〴㐳㐲㥥敥敤愴㜱挲㌶㍤㘰㡦ㄸㅢ㌷扤㌱ㄷ㈸㐷㠲慣㍣摥㙥㤳㔸つ㜵ㅡ慣㘸㠵㙢ㅢ慢㙡搴挴昶挶晡戰摥戸㜱㤹㙡㕦愳㠴ㄴ挹㑡㡤愴㘶㔹㘶㡤㙢㐹搵㈸㔲㜱㤷戵㡤ㄲ攵㌶慤挲㥤㔲攴ㄲㄴ㤳愴㤹㤸戶㕦ㄲち㠲扣愴づ攸㈸晡敢愳挹㈳ㄴ慤愱つ搰㐱㍤攵㤷㜵〷攱挰〹㕣㌹挹㡢㡥攰つ晣扤㈱挸㑥㤵扣㥡ㅡ晤㕣㕦㔰㌳㕣㈸㑣搹戰ㄲ㜲扡㤳㕦㈳㉣㡤扤昹ㅡ㐶㜲㘷慢摡摦〷㙦㠸ㄱ〳㌶㘴㐸㈴挲てっ㌶〴㜳㠵愲愹戴捥扡〹敡㑡㜱㡡㙦㐷㠴㙥㑢っ㘴扣晣㤸㔸㤴㘶㔸搵㤲敦㤳ㅤ㉡愷㐵㈹㐷㌵㘳㜸搶㠵㑡昷㈸挷㠳㥣㘴㜰捤㌸㑥户ㄴ㉥㌰㐰散〶戹改㥣㠷戰㙥㘵〰㥥っ搶づ㜶〰ㄱ㍦㙣㐲敢㡣ㄲ㌴ㄹ㐱戸戵㥢㈰敦戴㠸㔱〸㔲㐳㍥晦㍥愰扣昰㍣㥦㥦ㅣ㠸㤵㌳〱ㄳ㌱搴ㄵ㘱㍤〰戹攱愸㈴戹愸慦ㅣ㉣昷㈵㥢ㄴ㕡㕤攵㌲㥡ㄸ摤㌴昹ㅣて㌷㜸ㄸ挷敡㈱摢ㄴ㜰挷捤㌳愱㑤ぢ㑢ㅢ㡣〹㍢㔷㈸攵㠵㔴挵㘵㔹㉤㌵昲㥡挰㤷扣晥攷㜳㔳〴㕣〲愰㑣攰㈸挵㉤ㄳ㐹慤摢摤摡攷搱㕤ち㌹㡣攱换㌶〶ㅦ㈳摣㜲㌲ㄸ搶㜰㐷㠱昶攱挶敡攵〵㜹㜱づ㈲慤愱㠸戲㙣ㄲ㜷昱㉡ㄱ㘴挹㙤愱㘶㤳挵挹㈲㙤昶㔰搱㘱搳㉦㕡ㄳ㌸挲㍥㝤㠱㤷㑣挲ㄸ㘹㤱㍢㌸㐸散㐲㄰搹扤昰戸㝣㡤㕤㌸㄰ㄸㅦち攳扢㍣〵挵〰㔵㌰ㄲつ㙥戵㙡㜵㉢㡣晣搲昲搶敥㐱愲㌰〴㑣㠳ㄶ㉤㝤〳㘷〴昹㤵つㅣ〶㈳㈳愲愳攱㐰㉡㘳㤴㝤㜰搸〳㘹攰㈶ㅥ愴㘷㡡㔰㐲㕥扦扣ㄴ㔶扥㤷㌸㘸攱〸㔴㜴㌶搷ㄵ㑥敢ㅥ慥扥搸㕢敢㡡㠷昳㜹㥡扢昰捦慤〹慣攲摡㠶㙦㡥昶搷㕤挸㤲㝢愲㝤㜷㐳㕤㐵㜰㔱㜰昷㔸晡戰敥攵收㌳摥㤲㝦㘹慢㔵㤲㐸扣〹㝦挴戲戳搳㘶㡥摢扣㠴扡㐸搸㜷㥣戶㡢㘷㙤戹慥㠴换ㅢ㝦戴㘲戵昶㜶㉥戲㈳昶㌱㝥攴愳挶ㄲ㙦㘰挴搵㉣㥢〳㔴ㅤ㈴ㅣ㐷㍥扥㌴ㄸ㐰㍥㠲㑥㘰扢㔷㙥っ㤰㑥晡敢攸㐴ち㠲㜵㐲戱攷㍥㌱㐲㔱㝥〵戴㤲㔸晣㈳㌹㘰晥ち㔸㕦昹㈵㑡㠸㜰扣〷㘲㈴㜱ㅤ㜲ㄱ愸㤳㠲㍣戸摥挱换㈰晦㍦㔸㉡㜳昳戲散昴㕦㘰㘶攵昵㝡ㄴ㙤㈷㡡㕥㙢㐴ㄱ〳戱ㄷㄵ昲收敡搷㡦㥡㥦晡戵摥晦攱㔱昳㕥㘰㤸㡦戴挶㄰㔴㘳㌰扥㘲っ愸つ挶挰づ㔴㑢㘳攰㍥昶㘱扣摥㌷〶〲㙦挷ㄱㄴ慣㙣っ㌰㡡ㄷ㘱昲㠵㠲慡㈱〷〶捦㕡㥢㉤㝡挲づ攳㝡慤㜰ㄱ戹㠷㝡㜲㐷攱㝢摡搲㔸㍣慤㍢扡戵㔵㤶ㅦ㜲〴搴㤶㌳㠳晢摡戲ぢ㝢㙣㕢戶㐶㜶㕡挶㉢㔱昶愷慦㝢㑥㔶㜷㑢ㅤ㤸昲ㅦ摦㔱慦愴㤴攴㈵昸㐴ㄴ㥥㄰㘲㕦敥晦改愱扦㍥昲挴〱摥㑢ぢ㘸㌵挱㐰㜰㉢挱㜹㕡づ〸摦㠶慥㠴㙣攲攷㌷㐷昰㈱㤲戹㔰㄰㈳扡㈳敤ㅤ㔷戳捡㔹㥦昰㐲㠴改ㄳ摦㕡㌰㈶㜱挳挱㌷㈶搳㜵㡥㑤昹昹㤲㜴〶愶㐳ぢ㤷摥扢㜲㠰㔰㘹慡戲㕡戴㉢ㄳ㍦㠷搲戹挸㠵搴摡㠳㍣㕦昲㔱㤴㥦搵㙢戵㝤搴㙡搲㑣㔴〶搱愲㉣愵㄰㘹㈰㠵㠴㡦㉣っ晤㑢㈹㌵㡤㑣㈲㡤㈴㈲㠶㔶ㅦ捣攵挹㝦㕤〸㠸捡昵扥ㄶ㍦㔵〱ㄴ㠱挵戲搷扤搵戳㉢慤捥戲㙡㘲㔰㔶㥥㍥㡥㈱㈳㡦㈹㉣㘰㤴㔶㤶ㅥ㐷愶晣㈴㠶㤰㕢戵攳㠹㤳㜴㕢㝥㠸捤㘷散㠴㐵慦㕡㠷㜵搰㉥攱㡥〷昴㑣㔲㉡っ㝢㈳㡢㜱昴㤴搱㌸扦㘹㠷㕦挴戴挷捦㔶㍡㜵〶㔵搰㔹昶㔶㥣㍦ㄱ收攳昷㐰慣ㅦ慣づ扤愹扥㠶㍡捥㙥挷〶昹ぢ晢㙢㝢〴㘳㘳㔶㜲っ㈴散慡㕡愵晣㑢攰ㄹ㜴㤱昶扣愲㔵戳㥣㑢㔱ㄸ㡤㉥㜳㔶㕢愳晥㘷㥣㕡㜲搶っ㕢㌳㘰㕤愳晦㑦愲㘰㐵晤慦㌰捡㈶㔱㜶㝦㤰攱㑢㠲㤱㤲ㄵ㠳㌳㠴〸㝣搸〸搳挸㈳戰㈶戳っ㙥晢戹っ㍥㔱昵慢愵〴㠷㠷㉢㕥㝦〹愲搲㤷戶㙤㘷㔳〱挸㈸㔰攲㔵㠸愰愶晤戹攸挶㜳㙣昲〱ㄴ昷ㅦ㌱㜳㑥搱㉤ㅡ摥㐰〶攱摤〱㝥㘱㘶挰收ㄹ㔶㕥愹ㄷ㙡㌷〰ㄲ㕤て愲捦搱㈹〸散愳挲晢愴愲㡥㡣㈱慣㉥㘶挱慦㡤㝡㐳㠱㈴㙡〷昷ち攳㔸㐹㉦攰〳搵㈹㜸㌵㍤ㄶ慤〹㘵攷晢㤶敢敦㘲㄰㜴戸㡤㜵ㅦ㍣㍦愲㤰㐶ㄸ㑣㙥攱挱㠷〸搷㝡ㄸ搴戶つ昶收戲㘵㙢摥戵㡥挴㡦㠱搳搵捤㔲㑢㌲㥣㤳摦ㅤ㜷㘸て㌱㐵㥣㠷摥搱搵扢㘲㌹㕡ㅦ攸㍣昸㙣㥢㉥慦挱〲ㅣ㘵慢㠸㜳㝦〹㕤㤵㝢㤸攰㔷换〶ㄹ扥㈸昴攷摤捤捣㑢搸ㄶㄹ〰昹㔸㔲㐷搲㥣慡㝦戰ㅣ㔵㉢㍣㕡㤰ち㍢㤴敦愳㥥㔰昲㜷㥢㘷ㄹ㡥ㅡ昲〸㠱扣㈶㤰㤴ㅦ㠵㐷〸㌹晦ぢ攸㔰㤹㝦づ愵捤攷晦摥戲昳㔳昹换晤㠵挷敦㉤㉢て敤ㄴ慡戵搳㑣ち㑣㉣㈴扤㘵ㅤ搲㐳戱㐸㔹㤳昴㠳〸慦ㅦ㐰ㅥ捦ㅦ㠲晦摦㍢昰捥摢㝣晥㜵㐰㤱㠲㄰㔵戵扢愰㈰㤴扢㜸㌶扣㡢〵㤴㌶摦挵㌳换敤愲㤷㌲㤲㉢搱ㅣ㈴摤㙤ち㘹㐵敥捡つ㌲ㄲ㙢ㄲ愱㙣㔵戳㔷㈲㔶昶㉤㈱㠳扥㠴扣散扢ㄸ㘴昸搲㕢敥㤲㈰㐴㈲扥攵㤱㠶ㄲ敦㍥搲㝤㤳昴晤慦㐹㕦㍤愶慣挰昱扡㈶㠴㐴攰㌲㙦㉡摢㤳㉤〶昵㤵愷敢㌱戴〳攰慣㔰㠸㙦㥡㤲愲〸㐸攵愹晡挶㘷㈴散㔱㐵㌲昲ㅢ㤳昲㘴攳㈷敢ㅢ扦㕣㘹晣㕥戹㌱㈹㔴㌶晥㐶㝤攳〷搱戸㑣㤰㐱㈸㤳搴ㄲ㘱昴捡㘳㐰攸㠳㙣㥥慥ㄳ〶ㄵ㘹愷攱ㄷ㔳㠴捡㘸㜱㐱慡搲㉥摣晦㜰昰㐹昴㈴慥㌳攱搶〷愴慤晦㤷ㄱ㈶㜰捤㘹㑣昷㜴㝣昱扣㠸昸戲愳挹㌷㜶㑥ㅡ㔳づち摡㡤〹ㄷ㠷慢晣㥡㈲ㄱ搸〵㜱㕥捡〸㈸㐵㙤㑡㉡ㄱ㌶㘴ㄵㅥ攵戸㤸捡㙢㈳慤㘹ㄱㄹ㑢㠹㉢㑦㔴㌰㝢扥敡㔹搷扥㠲㜵㐲㕥捡昵㐲㕢㍣㠶㡣ㅦ㝢改㘷㔱㉦〵㠱攴昲昳挸㠰换挹散㐴㝦昲慢㐸㝡捡㝦㡥㘲㘰㔱晡㑢㔴攵戱昲ㅣ晦摣扤㔵ち㜷㥣㥤㘲摡搷搸攱〹㈴㙤㜰搴㉡㍥㙣㌰搷搷㔱ㄲ㥥㡢㠲㐳捥昵㈴㌲摤㙤〹㉥㙤搵㌰攲づ㕡㔴㔸㑦愱慢挲㡤㜳っ敤改㈰挳㤷挴㜹㈴㜷㌷㌷㤱㜹〲㉥㝦戵㡦㔸㘶捤攷昹〷昱戹晤ㄲ昷摡㠶扦㌶㤲㤰昶㝣㕣晤㙣㙢㘳㤱攴ㄳ㕣て㝦ㄷ〱攳㑢ㄸ㠷晢慡㥡㤶ㅣ㤱㝡㐷晢㈶ㄲ㠵㠸㈲搴戵㙦昱㡤昸㤱㈰昹㜶㤰攱㡢㐲攴㥣㘷挶挱㍡戸ㄶ搹晤ㄹ㤶㐸㐰㈲㔳慢㈸〸㔰㠹搶㘷㤱改㙥敢攱㑣㔴㍣敡㌹㈵昷㜰晥攱㠷㍦散㠹て㙣㡢㝦攱㥥慥攷摦晢摤晢捦扤晢挵晤晦昸攸挵ㄷ摦晤摢㜳㙦㝦昴挶散晥摦扥晣昲㙦敥晤攱摢敦㙦㌴㕥㔲㝦昱攱攴㑢㡦づ㥤㝥昴㡣㜱攲戶㐳㡦㍥㜰敡搸搰昴ㄵ㠳㙤㙤敤敤㌷昷扤㜵攵㉤扤攷捦扣愶晣晡㑦㕢㙣㐵㉥ㅥㄳ搴㉥㠳㥢㤰换昸づ㌲㔸〶㔷晣愹㉥㠳摢㍤㡦㕦愵㄰〰㙡〴㉦㈹戸ㄹ戸〰㔹㜱扡戶愲昳㍦㝥搵㠶攵</t>
  </si>
  <si>
    <t>㜸〱敤㕢㝢㜰ㅤ搵㜹扦攷敡敥敡㥥㉢挹扡昸挱挳㄰㄰㘰〶㘳㜹ㄴ换戶挲㈳昵㔸㉦㍦〴戲㘵㉣〱挹〴㉡㔶昷敥㕡㡢敦挳散慥㘴〹㑣㈱㘴晡㑦㔳㐸㘳ㄸ〶㔲㌲扣㕦〹〹愵㐹㈱愵㤰づ㈱㠹㈹㜵㤸っ㠱㤰挰愴攵搱㐰摢㌴㤴㈴㝤㘴㍡㔰晡晢㥤摤㤵昶敥扤扡㌲挲㤹敡㡦ㅣ㕢摦㥥挷㜷捥㥥昳㝤攷㝣攷㜷扥㍤㌷㈱ㄲ㠹挴〷〸㝣㌲愴ㄸ㌹㘹㜸摡昵捣㘲㐷㕦戹㔰㌰㜳㥥㕤㉥戹ㅤ㍤㡥㘳㑣て摡慥搷〰〶㝤搴㐶戹慢㡤扡昶㔵㘶㝡㜴搲㜴㕣㌰㘹㠹㐴㍡㉤㤳㈸㐷㑣晤㘵挳㠴㘴㉤㤹㈲㘱㤹搴㐹ㅡ㐱㥡搳㈰㈳㝤扤㐳㘳㔷攰㑤挳㕥搹㌱搷戶㕤散户户愹戳戳愳戳㘳挳㌹ㅢ㌶㜴慣㕢摢搶㌷㔱昰㈶ㅣ㜳㔳挹㥣昰ㅣ愳戰戶㙤搷挴㔸挱捥㕤㘰㑥㡦㤴昷㥡愵㑤收搸扡つ㘳挶挶㜳㍡㌷㜶㜵㔹攷㥥㝢㑥戳㐴换㍢晢㝡㜷㌹愶攵ㅥ慤㌶㌳㙣㜳愸慦户㘳愷改ㅤ慤㌶㥢搰㈶㥡散㉦ㄷつ扢㜴㤴ㅡ搵㈸敦慥㝥㌳㘷㔳㌱愶改搸愵㍤ㅤ攸㜶㠵愰㤱㍡扢愳挷㜵㈷㡡晢愸攳㍥戳㔰搸㙤㕡㔴㠸㉣昶扢摥㉥挳㈹扡捤㐵捡捦㜴捣㔲捥㜴㤷ㄴ户㑣攵捣㐲挰攸愶㡢ㄷㅢ捥㑥愳㘸愶ㄸ㘹㉤晡㍡ㅣ挸㥢㈵捦昶愶㕢㡡ㄷ戹收㙥愳戴挷㈴㡢㔶摣㌶㘱攷㐵㉡㠵晦㠹㠶㌳㙢昵㑣㈹ち晤㈹昶㡤ㅢ㡥愷㔲㔴㘱㘷㉤摥挸㜴㔱愳愸散ㄷ㙡戵挵㙡㔱㘷挳㜶昱〲搳㈹㤹〵扥㠴㥡㙣㡦㌱㈹〱昹㝡㤸㤱㔴㌸ㅣ㙡㐹㌴〵ぢ㠳㘳愱㥣昴㘶㤰㌳㐶ㅣㅢ挳㥣㈸ㄸ捥摡ㅤ㜶㘹搳晡㜵㙢〷敤扤㘶挱㌶㕤㙦搳晡慥戵㍢㡣愹㑤ㅢ扡㘴ぢ㔸攵ㄲ㔶㙡〵㐹㙦㌷㥣晣㝥挳㌱㘵㤶昹挷㠰㠸搴㍢㔸㠸搱㔷昰㥤挹㔱㈳㌹㍡㤶ㅣ捤㈵㐷昳挹㔱㌳㌹㙡㈵㐷昷㈴㐷挷㤳愳㜶㜲昴㡡攴攸㕥昰㠴㈱摤搸㤸っ挲戱昷慥㌸敦㠴挳扤㝤㝦晥换㐷㕥捡㥥昹搲㙦〴搷㥥㕡扡换㄰㔹ㄵ敢㜲㔷愴挷㥤敢㔴㡦㍢扢攴㜲㜰捡ㄵ㈰晡戱㈰愹ㅤ戶㥢㤳挷㌱敦㜸㄰㈱摥㐶㙦搹攳攳敥㝡晥扦ㅥㅦㅢㄹ扡昵㤹㤳㉥戸敡搵㥦㕤愸㜱㠵㙦愸㈵摡戸搶戶㘲戵攷っ搷ぢ㈶㤴戲〷㐷㜵扥捤㍦摤戶㍡戹摦晤㜴挳㑢㡥捡㜴㤳㉢㈹晤ㄳ㐱昴㤳㐰㌲㈳㘵捦㈸戴昵㤵㕤㑦㝥㡣㈵㈷㠳〸昱㝡愰㤷愹捤㝦㜶搶换㡦㙦摤㝥换换愷晥挵ㅦ㥦昸攳㈷〴㡤慥㥡〲㙤㠸挴㘷㙤攷挶攸ㅣ昰㘷敤晡㉥㜹㉡㔸攵㘹㈰晡改㈰改攱戲攵愹㔹扢㡡昹㘷㠰〸昱㑡昰扥㌷㥡㙥ㅦ㍡昱㤴ㄷ㠶ㅥ扦㘵攵捤㔳㙦慥扡㐶㔰㥦敡㝤㘷㈲㔲昵扥昵搱昷㙤〸攷摣㙡戶㝢ㄶ㠸扥〶㘴改㉥愷捣㝤愱㙤㠷㔱㌲昶㤸㐵㔸ㄶ搹㑥㡥戵㈰㐲晣㈸㜸昳㤹敦㙦㙢㝢慣㘷晤挰挱㕢ㅦ㍣搴昵昰㡤晦搰摣㠱攲ぢ㠳戵摡敦ㄸ晢㘱晤㘶つ敢晡㡥㜵晣㌷晦㡥㠲つ挵敡戲捥戶㍡㍢昳㕤敢㡣つ㠶挶㈵㝣愴愶㡢换扡搹扡挴㉥攵换晢㤵㉤㍢愹搷㜰捤搹戹搶ㅥ㤴昵㤶㈷㑡㜹昷挴摡㠵挳㥥攱㤹㉢攳㘵戳㡤㔴㔵ㅢ㠶愵㌷㕤昵扥㤳攳搵㉥㌶ちㄳ㘶捦㤴敤ㄷ㝦㉣㔶㡣㜵㔷ㅥ㥢扢㜴慢㘳㕥㌹㔳㕡搵愳ㅥ㠰㠴㐹搵㜶搵㈸晤㈲扦㕦㙤㝤攳㘵搷㉣愹敥戵ㄷ㜷搹戹扤愶㌳㙣ㄲ㘲㤸㜹㌵搴ㄵ㉣ち㌶㥢昶愱ㄲ〶㡡敤㈳㝦㕡㌴搷摡㌲攵㤹愵扣㤹㐷㝦昷㤹㡥㌷㍤㘲㡣ㄵ捣㘳㉢㔸晣㜷愲攰㠴㡡散慤攵摣㠴摢㔷㉥㜹㑥戹㔰㔹搲㤳㥦㌴戰挱攵㜷㤴昳㈶昶愷ㄴ㐳㐲㈴ㅡㅡ㠴㐸慣愹㘵挹搸慥摢愱ㄴㄱ㔱㌱户慢攳㉢愷㕤挷㙥㡣づ愳㈸㤸㥣㤳挹㔵昳㌴愶摡㘵㌳㘷捤捤ㄸㄹㄳ昱ㄸ戹㔷捦捤慤晡㌸愳戹摦㉤㜳㌲戹㉣ㄸ晤㤶㐹㉣搵敤㐶㈹㕦㌰㥤扡㘸㔲戰㐷昲攳㈰摡て戱㥡攷㤴ㅥ户㉦㌱㈵愶戵晤㜶摥ㅢ搷挷㑤㝢捦戸㠷㍣㈰捥㜴㥡愲慤ち戲ㄳ㔹㜲㍤挹〶㤰㑣㈶愱㙦㈴㤳㥥㤱㕤㝥㕡攳㙥晣攱攱〵㌱慤㔴㜰〶搸搳搵㡡搸挵摣㠶㠶㕡愳摣㙥戸攳ㅥ愷㘷摤㐲〵戸㍥挱㐶捦〶搱㘸㌸收㐵㉦㠴㄰㈹㠲戴㤶㘲扦㘹ㄹ㠰挶㙡㜵ぢ㐳㉢晡㘸慢摦挴㘶㑤㔸㌶㠰戵㌲愵㈳㠶挵摦㕣攴散㌷愷扣㝥挳㌳ㅡ㡢〰㜸㌴愸㘰㙡㔷戵晣ㄸ㙢戶愸扣戰㜶㈶㐸愱㠵慣㡡㐶㕡㘹㔲ㄹ㝥㑢㔸㌸㔸㉦㠹㠶㠰搶ㅦ〴晡捥㍤㔱㡦㑦昴㑡愰〶晣㤸摦㘶㤶㐶愶昷㤹㉥搹搳㝡㕤㔱挶㤷ㄷㅢㅢ捡㡤㕤攴搹〵户〳㍤摤收㤴㈷昶ㅤ捤㜶搸㤶㍣〷㈴っ摡㈱捣攲㈳ㅦㄳ㑦㕢㡤㤳搴捤攸㘸㈲捤搶㤸㈳愹㕥挹搹㡡挶㍥挰㐳〵昹〷㜸㘴敡㤵㘹㠴㤱ㅦ〶搴ㄲ愹㌵ㄷ㈱愱ㄱ挷㔴㌰㍤慤ㄲ㤰㜶㑢昱㤲戲戳㜷慣㕣摥换昹戴㐴愵摣㜱搳昴〸㝤㥢〲愸慦㈰扤㄰つつㄵ愰㌵㠲㤱〹㘰昵㙥㤰㤶㥥㐲愱㉤㙣搱搵㝢㤰搵〰㄰慥昷㈲戲㥣〰愶㙤㡢敢搹㐵㠳攷㤰㡥愹㠲㕢ㄴ㑦㘱攴㐴㤷㥦昸摣昵㌷扤扡攳㤲㠱㝢扡㝥㌳晥敤㍢㤶昵㠹㈷㠳㠲㉡㠴㑢戸慡㐰昶ㄶ㐴挴ㄳ㘰愳㐵㐱扣㌲挸㙤㐸换敤㈴〳㈰戰ぢ㑡搲㌰ぢㄷ昸㐹㐱挸㑢搳㈰〷㐹㜶㠰〸挲㕥〵搴㜷㈲ㄲ〶昱㈸摡愷扥㤵捥㠸㤱慢㜵戶ㅢ戹ㄹ㔹愷㑣㄰㑣㔳㙦戲㥢㠴㤲㤱㤴㡡㜸〰つ搷ㄴ挰晤㐱㐱ㄵ敥㈶㍡慣〳㑦㉡愰㉥㠵㔵〱㑦㥡慤慤㜶挱㌳ㅤ戵〳戵㕡㜸昸㘷㐷㤵㙥攱慥敢ㄸ㌹晦㔴戶摣敡挳挶㡢挳慡㌷慤㜶ㄷ挵㔲戵昱晢晢攲敦攱捤愲㠳㌷ち摣㔴㐰㥣㍡昰〱㤳㈶〶㜰敡㌳㐷㈶ㄱ㜷昶㥡挶㐸捤㤷づ戴㕣㌹挹挸ㅦ户㥣敡㐴㍥挳ㅦ㥤㠴攴㕥㌷㌷散攱㘴慦㥥愴慣㌴㈷挴㈰㡡昸㍤㐰㡢扢晢㝣㠰昶ㄹ挸㐶㕥㑡㜲ㄹ挹ㅦ㤲㡣㠲㠸㍢㘱㡣㘸㘶ㅦ㐱㠲㝦摦〵㍡㝡㔳搹㐳㠳㍣㘳㈴㌹㤰㠸㤹㌵晤愴攰㌹㔶㤹㔹㡢㑣㝢㐰㥡挷㐱㜶㙥㌷ぢ〰昶㐷换㘵愷昱㘴㕣ㅦ㡡㘰慥㉣〵搳戱挵攱改㔲㙥摣㈹㤷攰搴㈴㐲敡挹挱攷攵ち㐳㉦づ㤶晢㈶㍣扤戸摤挶愳戹戸摢摣㘷ㅡ㕥ㅦづ㙥㠰㕦㠳昰㕦㈸㜰㌵㤰㥦晡晦〴㕦〹㈲㘴㥣㠹㘷昱㤷㠸慦㔴ㅦ〶〵攲敤攸㉦挳㝦㙡㉡户㉥挵慥敢〰搲㡢㄰㕤㈵愴㡤摥摤昱慢慦㝣昲㡣㉦㍦昲㐱昰扣ㄶ㌳㑥〵㐹㍦㐸昵慥㕢㐰㙥愶㕥㤹愰慢㘴㘶搷搵慦㐴慡〱搳挰摦㜹㙦㐰搳㌵㜷摥㍦つち慡㍣㉢愷愲扥㠲ㅥㄳ㠸㠸㍦〱㕢㙤攸戱ㅦ挵㜲㡡㘴ㅡ㈴戲㈶慥昶㤳攲㌴㍣搵㥡㌸㐰愶㙢㐰〴㍤㉤ち㝡晣ㄱ㈲㘱㄰㥦挵㍢㘶愰〷㕤㌳搵㐲戸ㅥ戹ㄹ㔹愷㑣搰㝦㌳㈳㠴〸昴搸㍦㤷〰㈶㠳㠲㉡㔷捦㙡戴愴〴昰㜹㐴㠴㌷愷〰㙥㐰戱扣㤱攴ぢ㈰ㄱ〱㝣搱㑦㡡戳昰㔴〲㌸㐸愶㥢㐰㐴㍢㠸ㄲ挰捤㠸㠴㐱散㡤ち㘰つ戲慢〵㜰㉢㜲㌳戲㑥㤹愰ㅢ愹㤶〰㡣戹〴㜰㜹㔰㄰昷㌸㘹ㅦ㐷㑢ㅦ挲㔳搰挴づ㕢ㄷ摢收㝥ㅥ㙤㤶㔸㜰㤵昷㑤戸㕥㔹㥤挳㕡慣晥昲捥戲搷㙦扢晢ち挶昴㌲㉢㠸㕣㌲㙥㤶攰㈵㜱攰㉣㠹攵㤵昷敤㌳昳搲ㅡ㉥㑦㌸㌹㜳愰㝦㌱㜸㔱㌰㍥愸㑥㌹㔰㤲〲㘱㘱㡥〱搸㌳㠱㔹㠲㤰搰㍡搱㘰晣㝣ㄷ㠱〷戳㐸㤴㜳愵㜵㔶愲㈳戶㔷㌰㥢㉣㔵慥攲㘹ぢ㔲㠴敢㈹摦㘸㡤㡣攳摣搳摦㘲㙤㜳散㝣挱㉥㤹㔴〶搰㉤扦㍦っ㥡㝢攰㘶摡㔵㜶㙤㥥㐹㕡慣ㄱ挷㈸戹晢㜸㘲捥㑤㉦慤㐸㈹敢慦㔹扤㜶挹挵㙢㤴ㄶㄹ㙦戵㠶挷换晢昱〹㙤愲㔸摡㘶散㜳ㄷ㠵㔶戸㌳晢㐱愹㐶㈴㐵㌲㈹搲挹昴㐲昵挳ㄳ㙢㈲㐱㈷㑢㡡㐴改㉡愱㌱㕡〷挹ㄱ捦〵㑥㍥㍡戰搸愷㡡捦㑣㌵㝤㈹㌳摦ㅦ㠹攱攴㕤慣㜳㌷挸昹摢㉥ㅡ㤸㜵敤㝥愴て㠶ㅡ摤㐴昱㍤㌳㍥挳㘶㍣㘹敡㤰攸㑦ㄵ收㜱收㘰〵㐲攳㑣挵愷㕦挶㔲㍣㥣㠹㑢㘶愳㕢攱㡣㘹戶〶㡤㌱戳〰ㅦㄲづ扦㑢晣〴㔱㙤搱㈸戸㐱㔹㕦戹㔸㌴㌸戵㌸㉤㠷㜳㐶挱㑣㕢㍤ㄳ㕥ㄹ摦㥡愴〵愲收㕦㤰㘵㑣㈱换㤸㔲㔹捤搶㙥晡㤶㔵㥣㙤㤵昷ㄸ㡥敤㡤ㄷ敤㕣㥡〹晡㝦ㄷ挵㥣㠴㥤㔰搸〵搲㘷〸㙤㐶ㅣ戳昹攸〵敡敥挰㠱㠴愲愳晡㌱㜳㤳㐲挷㍦戱㐰搷㈳㉣㡣摡㌸攴扤㘸㑤㑢㠲搰攴愸昰㙥昸㔱晣摤㙢㤱愳㡣㤰愰攷㤰挵昲㍥㥦㐷搱ㄴ㥤㜷㜵晤㔲晣ㄲ㤲ㄹ㉣ㅢ昹慤㌸㐳㤷㥤挶攰〳㜷ㅡ慡愵㐹㜱戲昴ㄴ昶挱昹っ愷昶愴㥤㌷ㅤ㝣ㅥ㜴挷㠷㠱㐳㔳昴㌱敡扥づ㈹㥢㠴愶㌵愵㙢扤㙢㈰㙣㙢㔵攰㝦㠹㝥扣ㅦ愸㙡晦摦㉥㍣㘷㌳㍢㥦挹昰ぢ㡤扣㥦攴〱㄰㐱ㅦ㈴挷ㄳ㘳㜸㤰って㠱㘸昴㜶挵㜵㔳改戴㠳㙢㡦㡢㌴愵㍥つ搳㥤㤸㠶敢㑤昹㈱㌵㌵㤰愶㠸晦㔰昷㕤㠷改昰㝢戳㍥㡣㔹㙥收㌳扥ㅤ㈵ち愷㍡㤲挹ㄴ㔴慤挷㥤ㅢ㔵慦㐵㘳挵㘱㔳㌹ㄶ〵㑤㤳晥ㄵ㤰㉣ㄷぢ摡ㅦ㥤昹攴ㅡ昷慣㘵㌲昲㘱㌰㈶㌲㠲㉥戶㜰昴晣㕣㤶挹㔰㜵昲㙢㈴㕦〷ㄱ昴㉤㜱慦㡦散㑣㘲ㅢ㤲摣㥤ㄲ㌵慤愱搸㡥ㄲ㕡㐴挹昳㤱ㄸ〰愱愱㤹㤹㜸㡦㈲㍥晦挴扢㠰㌵昰㔷㌱昱〴ㅤ㔴㘱㜷ㄱつ戵昹つ㌲㝥ㄳ㐴散〰愹挱昰㔷㘴㜸㡣っ㍢㐱愸㔱晤㜱㤰收㔰㔲敡㔳㙦つ㈹晤㌵㤸㈰愵摤愰㘱慢ㄱ㈹㍤㠱㙣昹㌷㈰ㅡ㡦㡢㜵㉣㈹㤰㜶挴愹㐰戸愷㕢ㄷ㤵㙣て㐶㡥㍤搸㙡㝢㔰㔷戳〵㠲愸㍡晤慦㔴挶㉦㔲愹㝤〶㍣㥤㔲㕤㔴㠱愶㑥慥㉥㡦挲慢㔵㌵㡡㝤攰ㄵ挱㕢昳㌱㈹〰㔶愳㡦㡢〹㤱〹晦㠴ㄸ㠰㌲㜱挶摣扥㤳㠸摣戹㡥㍦〲㝥搳㥦㘴晤敦摣㤳㤰㑦㈱㠲〹㑣㌴㈷扦㡤㈸ㄱ摤愵㜸搶㥦㈵ㄱ㙦ㄲㄱ㜳㠶愸捥捦㙢〹摣㤵〳㈵ㄷ昶㌲ㄳ愴戰ㅢ㉥〹愲㐳ㄳ㕥㐵㠹㌱戵㉣㈸㠱㉢㝡愸〴㑣㥤挳つ㡣㐵戲〱㘲㙣㍥ㅥ㔳㝢搹〲戱㌲ㅡ㘱㠸㙣㕢㤰㌲攵㑣㤷捤㠷㜱挴戵㠲扦㠵愲㥥昱捦愵㤹摡㘱ㅡ㈵愵㠱㘱㉦摦㙦㑥慡㐳换㉥ㄳ㈷づ㕣昷㈹㤸换㔴㠵㤹愴㌲昴搲敡ㄹ㜳〱㠰㍤愲㥥㈰愶搶戹戴㜶㥢〵㌸晢㈷㑤㠰㤴㈰戶㉢攷挱敤㍣搳〰扦〷㉦ㅥ敤㐰㈲愹㐰㐳㐲改㐸慦㌳㜱㉢〷挱㈵戴㐰㡤挲攰㕢㉡扣戳㔹㝣改㌶㠶㠷㌶㈷挲〸㜵ぢ攵搲ㄵ㔷〷㙢挳搴㐶扤愶㕣㐵换㐲㘷扥㙦攰㤴敤㙡づ昳〸挸㕢㜸㐰㜲㍣㕣㥡攰挵㥣㔶㉥㥢〲㄰㡢㘷〳㝢ㄶ愶㤷㔸〳愵㕣㘱㈲㙦㉡攰ㅡ㥡㙣㠵㕦ㄷ㠵扥搴つ㐶㕦㔷㜵攴ㄲ〸㘵〰搷ㄸ挳㡦攸ぢ㍦愵捡扦㠵㔸ㄵ㡣㐴ㅢㄹ昹㌴㔲㔴つㅤ愴ㅦ摡㐵㑤っ戱㜴昶〳㡢扡㐰〷戳㔶㤵㐵㝢㐶摦攳㡣㤷㕢慤戸〸摢㘰㜹戰捣㔳㙥㈴㙢扢敤㘷㉤ち㍤㘱㥣扥搱搳㜵挰昷〵慥㄰㌶㜲摤㔰㌷ㅦ戰㝣搷扥昹昳挹㝢㠶捦晦挵㘶摦㘹㤰㄰〶㜲ㄵ㌲㔳扥㐰㠵愰㠸挴㤲㈴扥㜱ㄴ㘳㠸㈹㜴昶っ㈲㈲〷ㄲ愲㌳敥㕤昲㝢㈰昳愳㌳㤳㜵挹晥晤㈰挲㠴戰㐰㐲㤸㠴㈸㕥愸戰昶㈱㐴攵戳㈰㘲て㐸つ㠶扦㈳挳㜳㈰㥡つㄲ㌷㌴㜳㝡㜱搹戸㔶㈴㘴㑥ㄷ㜹㜴挰㌲搵昱挱ㅦ㕥㙡㘰㔸扤㈹㍤捥㘶晦ㅥ攴〷㠷て㙦挲㈳㈱攸㈶つ摦慦㈱ㅥ愰摤挳㠸捡ㅦ㤰㠱敥捣㌸摡愵て戳づ摡愵㜷㔳挹昳㜹㌶㐰㌷㘷㈸㑦攲㐹昹㐳㤰昹攵㐹㜷愸㤲攷㝤㠸㠴㐱ㅣ㐰㉣散㉥㌳〳㜹扥㠰愸晣ㄱ㠸愰扦戴〶挳㡢㘴㜸㠹っ㜴愱㉡戴晢㘳㐴㘶捥〵㌳㤷摡㙡㈰摥㥦㠰ㄱ㠸昷㝡搰戰攵〸攲晤㈹戲攵㉢㈰攲昳㈰㜱㐹摤㠰扣㍡㤲扡ㄱ挵㑡㔲慦戲㠱㉦㠰㔴㐸敡㘷挸㤸㕦㔲㕦㘴㕤晣㔵㥥ぢづ㈲㈷散㉥愲愱愴晥㤱㡣慦㠱㠸㥢㐰㙡㌰扣㑥㠶㌷挸㜰㌳㠸㤲搴㥢㠸慣っ捦〵㌵慥攳搵㤰搹捦㔱〵㌲扢ㄵ㌴㝣㐷㐴㘶㙦㈱㕢扥つ㈲敥㈲㘱敡㥦㠳㠸㥡挱㍣㠸挷捦㤷㔵㘷㝦㍡っ〰晡攰〵ㄸ昶愶ぢ昰扣㌰捡昳愶ㅦ攳昴昷㡢㜱ち㉥㍢搸ㄲ㔲昱捦㝥㌳㜵㍢搰㔴搳昲搸慤㉤㔵㡤㈵㜷攳㑦㍢づ㕥摦㌹敢㜳〴戳㔷㌸㔸㠷㐱晦㔷㤰攵㍢散㥣㔳㜶㜱㘷戲㙤ㄸ摥挳㌶摥㠲㠳㔱㔸搷愳慤㐰㡢㌵摦挹㠱愵㑡扣㌰㍤挹㕢㈱㤹扤愵昲晥㤲敡㡤收昲㌲愰㤲㔷㘳㈳㕦攳㥦㌶ㄱ㌹ㅤ㔲捣㠶㉢㈵㝢㍦㜲ㄸ戲て昸捦㐴昶挱㌰昲㔰㄰搱㜸摡㍤搲挳㌴㝢㈴挶㐴㑥攴㠵㤹㙡㙣慣㍡㌸㔴ㅤ挲㘷㉥敢攸㍡扢愸㉤挷㔸攳愷㡤摡㤵㉡㐵挹捡㐹晣挹㕦㤲扣〳㤲挹㝥つ㤴ㅤ搲晦ㅤ㘴㐹㕦敦㘸挴㤷愸扦㡢扣㘶攴愹㥤㜰㌷㉥攸改扦㐲捥㌱挸愹扣㤹慥晦ㅡ搹㑢㤱㡤ㅢ㈸攱㥤ㄴ捥㥤散搷㤱捦搶㘷敦㙡换晦㘴戲ㄷ㐴㍣㐲挲搴㝦〷ㄱ捥㔶昱㈸挸扤㡣愴㌱㑡捥ㄳ挴ㄳ㤲捡愷㥥㠵㡥ㅣ敡扡㔲㔷摦㔰挵㔰搱㌷挳〸て攴っ搹挷晣㘷㐲昰愸㑤㌵〹つ搵㈹㐲㈵㡡昷㤰㈳摦〷挹㘴㜹摡㔶㥤愵㈸㈴挷㉥㌹㕣挹挱㘵㜹ち㔷㠵换㤹戵㠲㠴戸㐸㡤㐴㝢ち挹戸㐲㈲㝥捥挸昱てㅢ㐷㈲ㅢ㌹㤳㉢搵ㅥ㘳㕤㌸㘱ㄴ㜰挳㝦〸挸搰㘳搶㘲挰ㄳ㈹ㅦ㥦捦㍢慢搵㄰㍥㜳ㄹㄵㄲ㤷㐱攵愴っ挶愶慥㥤㉤っ㥤㘴戴晦昹摦昹愶㝥昸㤶敡愹捦改㤵㤱㡤㈸〰㤶ㄴ㍣㌳慢搹ㄷ慥㜳愴ㄳㅡ㜱攷㤱㠳㕣搶㕦㌶敢ㄶ愴〳戸扤挰㕦昴搴昲㈷㔶晡摢㈵敡㡡愷㔱扦慡て攲㤹㌰户㠹㍣㐸愸㜵昱㍤㐴搴扡昸て㠸㈰㕣ㄷ㝡ぢ捡攷㌴㡡攲搷㘰慤㕥㉣摦㐷㑢㙡㉡户愲㜲㑢㐳昶㄰搲っ㔹㐲㈸㠶㉣昱ㄲ㐳昶㌹晦㤹㘸㈵捡愱㠶昵㈰攳愸㍤戲挴㐶ㅣ愰慣㕣㜵㔹挲㈵㤵捦㑢㔸敡㡡扥㕣㐱㜹㍣㡦㈴㠵㈲㡦㘵㉡㘰ㄲ㐴㐱㑡㍡晦ㄲ㤱捥慣搵㜸扢愶㈰㕥㐰㈵㠶㉣戱づ㐳昶㐵晦㤹挸ㄲ摣㌰〸挲ㄵ㘵㌵摥㐲ㄳ㌳㔶攳㐴扣㔸㥥〴㤲挹ㄲ戱㈸㘹㔶昶摦户ㅡ㐴㌲慡昰㔴㐴搴慤㝦㜹㍡慢㉡晢愷㔰ち昳捦㐰ㄶ晥晢㝡㈶㑡㔱㈳㜹愵收㐸㝥㔲㜳㈴挴㈱っ搹搷搴〳㤱搷挳挸ㅢ㐱㐴㄰㐴愸㤱扣ㅣㅤ挹ㅡ㜶愷ㅤ㈴㤳㝤ぢっ㜳㡥㠴昸㐲ㄵ慥㐶㐴晤㥥㐰慥㘷㔵㡥㈴㑢戸愱ち㌷㈲慢愵愱㤵晢ぢ㘷㑡㙣戶扣扢ㄹ㜹っ摤㡡㈶搲挱㌳ㅢ㍣㤷㜷户㜲㔳㔲㌵㉦ㄳ愷ㅥ散搱㕥扢㌶㝥㑦挱慦戹㌱愸㜱慥晦扣慥愷㕢㜰㕦㌹〶㝦㤲㔹㤱㑦敦捦㘲戴㌵敦ㅥㅣちち攲搷ㅥ戳摣㡥搴㘸捥昳㐷挳㉤㘲㘱愳攱扥㜲〴愳㔹摥つ㍥㠴㔵摤敡㤱攸攸ㄶ摣㕢㙡㡤收㍢㜳㡤收改愰㈰㝥㠷㔱搰摥攱㍦攴ㄲ㐴㤸㄰捡晣㌰㌷㙡晤戲㌴㌸㙡攴扤㠸戴㌴㘸㌴㄰㥦㥣摢慤ㄹ㠱ち敤㌸晥㔷晣㠸㘰ぢ㝥ㄴ㌰㥤挴ㅢㅡ昰扤挵晦㑡㤱㑡㥥户戰戶戸挳㐸㜶ㄶ㝦摡㔳ㄸ攸㐷㘸㠷愳㥦〵㤷㙣昱ㄴ戶摣㡦㝣㐱晢㌲㉢昴㉢㤹捦改㉤扥㌵㤷搰ㅦてち攲搷㔷戲戴㑤㑡㤰攷㈳㠲〵㐱㝢戱戰㈹㐴㈳㜳〴㔳㘸㙤㌷㍡㡡搰搱慤ㅥ㠹㜳扢〵つ捤散㘸㝡㤰敦㡦收㉦攷ㅡ捤愳㐱㐱晣㉥㑡㤶昶㐹㡤㘶ㄷ㈲ㄸつ㙤挶挲㐶㐳㐳㜳〴愳㔹ㅤ㡣㘲㑤昰挴㠲愰戱愹㌵㥡㠷攷ㅡ捤㔷㠳㠲慡㡢㈵戴㔱昳㕤㉣㠹晣敡愷ㄵ㠲搳㉣愲搹㈶换捦收㜴㔴晥昱㠲㍡㐶㌴攳晢戰㠳摦摤っ攲扡〳扥ち攳㌷㤱〱㌸挶㌵〸晡づ挲㉦㤰㔲愵㔸㔹户㠶ㅣ㝣㤲㙣戴〶㕣㜸㠱昳㘹晣㙥挰挳㐵攱搲㘲㐰㝤㌸搸愵戸㙣戱㜰昹㕢㥤㘴捤㌳㔵〷㡡攳㕥㤴〸摥㥤㤵㐷攸〹㑣昲戳昲挲㌰㥦昲〲愶挴㐳㔰愷て㘵慥㑢㝣愰晡㠷愳㡣晣ㄴ㜴〹㉣挷㌴㍣㔴昲搳㠸昹ㅦ㥦㜹㠸㑥〸ㅡ㜰慡㍢㘸攳扥㥡㙤㕣ち㠶㐸ㅢ㤷㠵晣慡㔲㈲㑢戳愹㈶晦㈸㈲㉤つ㠲愶㤱㙤敡㤷㠳戴㠶㍦戸㙣㔳㠷㑢㌷㈹敥〸摦昱㡢昵㈷捣昶㜳っ扣㤲〶㐵㈸搹戲慦㜹㘶戱㥢晥㝢㌴㕡愰戸戰㜹敡摥捡ㅡ戱ㅦ改㌴㌵㔱〳㈳户㍤搱晤晥㠶换㝡〴㡤㑣㘴㤸㕦ち扢㤰㠸㡡㙡て㤸㈲挳ㅣ慦㝣扤攰搲㡥戴㜱㑢捤㌶昶㔶戶㔱愸㙣㐳愳㌶㡥㜸㕡㠰㜷愱搸戹㠴扡㠲扡㘶ㅢ戲ㅣ㐴㤸㄰㔴㈶扢㈱昷㌱㤷扡挴㝦㠸㍥㠸㌰㈱愸㐸敥㙣攲㐶っ㤲摢〹㘱㠹㜴㤹㐳㍤愹敡ㅥ㔳㔴ㄱ晥㈷攴㐴㄰㘱㐲㔰㤰㡡㘷㤲戹㤴㈳戳攵晥㈰挲㠴愰愰ㄴ捦ㄴ㜳㈹㈷㘶换改㈰挲㠴㔰愳㘰㙥挵ㄶ捣搱愸改㜶㌵㈲㤸㙥㙡ㅣ㔵㕣ㅣ㡦攲扡㐶㜱戵戲昳㤷㠰㉢㌹㈵㜲㤷攷㉦扦晣户慤愹戶㤵愹㑦㜵㌷摦昶摡㜳㙦ㅣ㝣昱搲㑤㙦扦㜷晢敤㉦晥搳挱挳敦㍤㌹戶改搰摤㜷㝦昷晣㍢づ扦戱搴扡㌳昹搸㙦〷敦㍣搰戹昷挰㤵搶㐵㙢戶ㅤ昸昴ㄵㄷ㜶敥㍡愶扤愱愱戱昱捣㘵捦ㅥ扦㍡㝢摤㤵摦ㄲ㑦晦昴戸㤲㔰昲愸敡〶攵愲扡挱晢ㅣ攸慣㤲㐸ㄵㄷ㈵愳戸㍥敢㜳㈹㤹㔴㜱㔱㌶㡡敢㜳㍥ㄷ挷慦戴㜴㈰搰㔲㉦慡愴昱挱㤳㐳㔶〵㔷挷ち搸〹㔵㜰㔵慣㠰敦㔵〵搳戱〲扥㑡ㄵ㑣㔵ㄶ㌴晤ㅦ㕣昶㐸敦</t>
  </si>
  <si>
    <r>
      <t>Author</t>
    </r>
    <r>
      <rPr>
        <sz val="11"/>
        <rFont val="Calibri"/>
        <family val="2"/>
        <scheme val="minor"/>
      </rPr>
      <t xml:space="preserve">
Crystal Ball Team</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</si>
</sst>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quot;£&quot;#,##0.00"/>
  </numFmts>
  <fonts count="12" x14ac:knownFonts="1">
    <font>
      <sz val="10"/>
      <name val="Arial"/>
    </font>
    <font>
      <sz val="10"/>
      <name val="Arial"/>
      <family val="2"/>
    </font>
    <font>
      <b/>
      <sz val="10"/>
      <name val="Arial"/>
      <family val="2"/>
    </font>
    <font>
      <sz val="8"/>
      <name val="Arial"/>
      <family val="2"/>
    </font>
    <font>
      <sz val="11"/>
      <name val="Calibri"/>
      <family val="2"/>
      <scheme val="minor"/>
    </font>
    <font>
      <b/>
      <sz val="11"/>
      <name val="Calibri"/>
      <family val="2"/>
      <scheme val="minor"/>
    </font>
    <font>
      <sz val="18"/>
      <color rgb="FF1F497D"/>
      <name val="Cambria"/>
      <family val="1"/>
      <scheme val="major"/>
    </font>
    <font>
      <b/>
      <i/>
      <sz val="11"/>
      <color theme="0"/>
      <name val="Calibri"/>
      <family val="2"/>
      <scheme val="minor"/>
    </font>
    <font>
      <b/>
      <sz val="18"/>
      <color rgb="FF1F497D"/>
      <name val="Cambria"/>
      <family val="1"/>
      <scheme val="major"/>
    </font>
    <font>
      <u/>
      <sz val="10"/>
      <color theme="10"/>
      <name val="MS Sans Serif"/>
      <family val="2"/>
    </font>
    <font>
      <u/>
      <sz val="10"/>
      <color rgb="FFFF0000"/>
      <name val="Calibri"/>
      <family val="2"/>
      <scheme val="minor"/>
    </font>
    <font>
      <sz val="11"/>
      <color theme="1" tint="0.249977111117893"/>
      <name val="Calibri"/>
      <family val="2"/>
      <scheme val="minor"/>
    </font>
  </fonts>
  <fills count="6">
    <fill>
      <patternFill patternType="none"/>
    </fill>
    <fill>
      <patternFill patternType="gray125"/>
    </fill>
    <fill>
      <patternFill patternType="solid">
        <fgColor rgb="FF00FF00"/>
        <bgColor indexed="64"/>
      </patternFill>
    </fill>
    <fill>
      <patternFill patternType="solid">
        <fgColor rgb="FF00FFFF"/>
        <bgColor indexed="64"/>
      </patternFill>
    </fill>
    <fill>
      <patternFill patternType="solid">
        <fgColor theme="9"/>
        <bgColor indexed="22"/>
      </patternFill>
    </fill>
    <fill>
      <patternFill patternType="solid">
        <fgColor rgb="FFF9AB6B"/>
        <bgColor indexed="22"/>
      </patternFill>
    </fill>
  </fills>
  <borders count="9">
    <border>
      <left/>
      <right/>
      <top/>
      <bottom/>
      <diagonal/>
    </border>
    <border>
      <left style="medium">
        <color theme="0" tint="-0.24994659260841701"/>
      </left>
      <right/>
      <top style="medium">
        <color theme="0" tint="-0.24994659260841701"/>
      </top>
      <bottom style="medium">
        <color theme="0" tint="-0.24994659260841701"/>
      </bottom>
      <diagonal/>
    </border>
    <border>
      <left/>
      <right/>
      <top style="medium">
        <color theme="0" tint="-0.24994659260841701"/>
      </top>
      <bottom style="medium">
        <color theme="0" tint="-0.24994659260841701"/>
      </bottom>
      <diagonal/>
    </border>
    <border>
      <left/>
      <right style="medium">
        <color theme="0" tint="-0.24994659260841701"/>
      </right>
      <top style="medium">
        <color theme="0" tint="-0.24994659260841701"/>
      </top>
      <bottom style="medium">
        <color theme="0" tint="-0.24994659260841701"/>
      </bottom>
      <diagonal/>
    </border>
    <border>
      <left style="medium">
        <color theme="0" tint="-0.24994659260841701"/>
      </left>
      <right/>
      <top/>
      <bottom/>
      <diagonal/>
    </border>
    <border>
      <left/>
      <right style="medium">
        <color theme="0" tint="-0.24994659260841701"/>
      </right>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s>
  <cellStyleXfs count="3">
    <xf numFmtId="0" fontId="0" fillId="0" borderId="0"/>
    <xf numFmtId="44" fontId="1" fillId="0" borderId="0" applyFont="0" applyFill="0" applyBorder="0" applyAlignment="0" applyProtection="0"/>
    <xf numFmtId="0" fontId="9" fillId="0" borderId="0" applyNumberFormat="0" applyFill="0" applyBorder="0" applyAlignment="0" applyProtection="0"/>
  </cellStyleXfs>
  <cellXfs count="31">
    <xf numFmtId="0" fontId="0" fillId="0" borderId="0" xfId="0"/>
    <xf numFmtId="0" fontId="4" fillId="0" borderId="0" xfId="0" applyFont="1" applyFill="1" applyBorder="1"/>
    <xf numFmtId="0" fontId="4" fillId="0" borderId="0" xfId="0" applyFont="1" applyFill="1"/>
    <xf numFmtId="0" fontId="4" fillId="0" borderId="0" xfId="0" applyFont="1"/>
    <xf numFmtId="0" fontId="5" fillId="0" borderId="0" xfId="0" applyFont="1" applyFill="1" applyBorder="1" applyAlignment="1">
      <alignment vertical="top" wrapText="1"/>
    </xf>
    <xf numFmtId="0" fontId="4" fillId="0" borderId="0" xfId="0" applyFont="1" applyFill="1" applyBorder="1" applyAlignment="1"/>
    <xf numFmtId="164" fontId="4" fillId="0" borderId="0" xfId="0" applyNumberFormat="1" applyFont="1" applyFill="1" applyBorder="1" applyProtection="1">
      <protection locked="0"/>
    </xf>
    <xf numFmtId="164" fontId="4" fillId="0" borderId="0" xfId="1" applyNumberFormat="1" applyFont="1" applyFill="1" applyBorder="1" applyProtection="1">
      <protection locked="0"/>
    </xf>
    <xf numFmtId="0" fontId="6" fillId="0" borderId="0" xfId="0" applyFont="1" applyFill="1" applyBorder="1"/>
    <xf numFmtId="164" fontId="4" fillId="2" borderId="0" xfId="0" applyNumberFormat="1" applyFont="1" applyFill="1" applyBorder="1" applyProtection="1">
      <protection locked="0"/>
    </xf>
    <xf numFmtId="0" fontId="5" fillId="0" borderId="1" xfId="0" applyFont="1" applyFill="1" applyBorder="1" applyAlignment="1">
      <alignment horizontal="left"/>
    </xf>
    <xf numFmtId="0" fontId="4" fillId="0" borderId="2" xfId="0" applyFont="1" applyFill="1" applyBorder="1" applyAlignment="1">
      <alignment horizontal="left"/>
    </xf>
    <xf numFmtId="0" fontId="4" fillId="0" borderId="4" xfId="0" applyFont="1" applyFill="1" applyBorder="1" applyProtection="1">
      <protection locked="0"/>
    </xf>
    <xf numFmtId="164" fontId="4" fillId="0" borderId="5" xfId="0" applyNumberFormat="1" applyFont="1" applyFill="1" applyBorder="1" applyProtection="1">
      <protection locked="0"/>
    </xf>
    <xf numFmtId="164" fontId="4" fillId="0" borderId="4" xfId="0" applyNumberFormat="1" applyFont="1" applyFill="1" applyBorder="1" applyProtection="1">
      <protection locked="0"/>
    </xf>
    <xf numFmtId="0" fontId="4" fillId="0" borderId="5" xfId="0" applyFont="1" applyBorder="1" applyProtection="1">
      <protection locked="0"/>
    </xf>
    <xf numFmtId="0" fontId="2" fillId="0" borderId="0" xfId="0" applyFont="1"/>
    <xf numFmtId="0" fontId="0" fillId="0" borderId="0" xfId="0" quotePrefix="1"/>
    <xf numFmtId="164" fontId="5" fillId="3" borderId="3" xfId="0" applyNumberFormat="1" applyFont="1" applyFill="1" applyBorder="1"/>
    <xf numFmtId="0" fontId="4" fillId="0" borderId="0" xfId="0" applyFont="1" applyAlignment="1">
      <alignment vertical="top" wrapText="1"/>
    </xf>
    <xf numFmtId="0" fontId="5" fillId="0" borderId="0" xfId="0" applyFont="1" applyAlignment="1">
      <alignment vertical="top" wrapText="1"/>
    </xf>
    <xf numFmtId="0" fontId="8" fillId="0" borderId="0" xfId="0" applyFont="1" applyAlignment="1">
      <alignment vertical="top" wrapText="1"/>
    </xf>
    <xf numFmtId="0" fontId="10" fillId="0" borderId="0" xfId="2" applyFont="1" applyAlignment="1">
      <alignment horizontal="center" vertical="center"/>
    </xf>
    <xf numFmtId="0" fontId="8" fillId="0" borderId="0" xfId="0" applyFont="1" applyAlignment="1">
      <alignment horizontal="left" vertical="center" readingOrder="1"/>
    </xf>
    <xf numFmtId="0" fontId="11" fillId="0" borderId="4" xfId="0" applyFont="1" applyFill="1" applyBorder="1" applyProtection="1">
      <protection locked="0"/>
    </xf>
    <xf numFmtId="0" fontId="7" fillId="5" borderId="6" xfId="0" applyFont="1" applyFill="1" applyBorder="1" applyAlignment="1">
      <alignment horizontal="center"/>
    </xf>
    <xf numFmtId="0" fontId="7" fillId="5" borderId="7" xfId="0" applyFont="1" applyFill="1" applyBorder="1" applyAlignment="1">
      <alignment horizontal="center"/>
    </xf>
    <xf numFmtId="0" fontId="7" fillId="5" borderId="8" xfId="0" applyFont="1" applyFill="1" applyBorder="1" applyAlignment="1">
      <alignment horizontal="center"/>
    </xf>
    <xf numFmtId="0" fontId="7" fillId="4" borderId="6" xfId="0" applyFont="1" applyFill="1" applyBorder="1" applyAlignment="1">
      <alignment horizontal="center" vertical="center"/>
    </xf>
    <xf numFmtId="0" fontId="7" fillId="4" borderId="7" xfId="0" applyFont="1" applyFill="1" applyBorder="1" applyAlignment="1">
      <alignment horizontal="center" vertical="center"/>
    </xf>
    <xf numFmtId="0" fontId="7" fillId="4" borderId="8" xfId="0" applyFont="1" applyFill="1" applyBorder="1" applyAlignment="1">
      <alignment horizontal="center" vertical="center"/>
    </xf>
  </cellXfs>
  <cellStyles count="3">
    <cellStyle name="Currency" xfId="1" builtinId="4"/>
    <cellStyle name="Hyperlink" xfId="2" builtinId="8"/>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1F497D"/>
      <color rgb="FFF9AB6B"/>
      <color rgb="FFFEF4E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0</xdr:rowOff>
    </xdr:from>
    <xdr:to>
      <xdr:col>8</xdr:col>
      <xdr:colOff>438151</xdr:colOff>
      <xdr:row>10</xdr:row>
      <xdr:rowOff>47625</xdr:rowOff>
    </xdr:to>
    <xdr:sp macro="" textlink="">
      <xdr:nvSpPr>
        <xdr:cNvPr id="2100" name="Text 52"/>
        <xdr:cNvSpPr txBox="1">
          <a:spLocks noChangeArrowheads="1"/>
        </xdr:cNvSpPr>
      </xdr:nvSpPr>
      <xdr:spPr bwMode="auto">
        <a:xfrm>
          <a:off x="419100" y="485775"/>
          <a:ext cx="5286376" cy="1571625"/>
        </a:xfrm>
        <a:prstGeom prst="rect">
          <a:avLst/>
        </a:prstGeom>
        <a:solidFill>
          <a:schemeClr val="bg1">
            <a:lumMod val="95000"/>
          </a:schemeClr>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blurRad="50800" dist="38100" dir="5400000" algn="t" rotWithShape="0">
            <a:prstClr val="black">
              <a:alpha val="40000"/>
            </a:prstClr>
          </a:outerShdw>
        </a:effectLst>
      </xdr:spPr>
      <xdr:txBody>
        <a:bodyPr vertOverflow="clip" wrap="square" lIns="45720" tIns="36576" rIns="0" bIns="0" anchor="t" upright="1"/>
        <a:lstStyle/>
        <a:p>
          <a:pPr algn="l" rtl="0">
            <a:defRPr sz="1000"/>
          </a:pPr>
          <a:endParaRPr lang="en-US" sz="1100" b="0" i="0" u="none" strike="noStrike" baseline="0">
            <a:solidFill>
              <a:srgbClr val="000000"/>
            </a:solidFill>
            <a:latin typeface="+mn-lt"/>
            <a:cs typeface="Arial"/>
          </a:endParaRPr>
        </a:p>
        <a:p>
          <a:pPr algn="l" rtl="0">
            <a:defRPr sz="1000"/>
          </a:pPr>
          <a:r>
            <a:rPr lang="en-US" sz="1400" b="1" i="0" u="none" strike="noStrike" baseline="0">
              <a:solidFill>
                <a:srgbClr val="000000"/>
              </a:solidFill>
              <a:latin typeface="+mn-lt"/>
              <a:cs typeface="Arial"/>
            </a:rPr>
            <a:t>Instructions:</a:t>
          </a:r>
          <a:r>
            <a:rPr lang="en-US" sz="1400" b="0" i="0" u="none" strike="noStrike" baseline="0">
              <a:solidFill>
                <a:srgbClr val="000000"/>
              </a:solidFill>
              <a:latin typeface="+mn-lt"/>
              <a:cs typeface="Arial"/>
            </a:rPr>
            <a:t> </a:t>
          </a:r>
        </a:p>
        <a:p>
          <a:pPr algn="l" rtl="0">
            <a:defRPr sz="1000"/>
          </a:pPr>
          <a:r>
            <a:rPr lang="en-US" sz="1100" b="0" i="0" u="none" strike="noStrike" baseline="0">
              <a:solidFill>
                <a:srgbClr val="000000"/>
              </a:solidFill>
              <a:latin typeface="+mn-lt"/>
              <a:cs typeface="Arial"/>
            </a:rPr>
            <a:t>1. Enter project cost items in table. </a:t>
          </a:r>
        </a:p>
        <a:p>
          <a:pPr algn="l" rtl="0">
            <a:defRPr sz="1000"/>
          </a:pPr>
          <a:r>
            <a:rPr lang="en-US" sz="1100" b="0" i="0" u="none" strike="noStrike" baseline="0">
              <a:solidFill>
                <a:srgbClr val="000000"/>
              </a:solidFill>
              <a:latin typeface="+mn-lt"/>
              <a:cs typeface="Arial"/>
            </a:rPr>
            <a:t>2. Input minimum, most likely, and maximum costs for each item.  </a:t>
          </a:r>
        </a:p>
        <a:p>
          <a:pPr algn="l" rtl="0">
            <a:defRPr sz="1000"/>
          </a:pPr>
          <a:r>
            <a:rPr lang="en-US" sz="1100" b="0" i="0" u="none" strike="noStrike" baseline="0">
              <a:solidFill>
                <a:srgbClr val="000000"/>
              </a:solidFill>
              <a:latin typeface="+mn-lt"/>
              <a:cs typeface="Arial"/>
            </a:rPr>
            <a:t>3. Click on Risk Analysis button to simulate costs.</a:t>
          </a:r>
        </a:p>
        <a:p>
          <a:pPr algn="l" rtl="0">
            <a:defRPr sz="1000"/>
          </a:pPr>
          <a:endParaRPr lang="en-US" sz="1100" b="0" i="0" u="none" strike="noStrike" baseline="0">
            <a:solidFill>
              <a:srgbClr val="000000"/>
            </a:solidFill>
            <a:latin typeface="+mn-lt"/>
            <a:cs typeface="Arial"/>
          </a:endParaRPr>
        </a:p>
        <a:p>
          <a:pPr algn="l" rtl="0">
            <a:defRPr sz="1000"/>
          </a:pPr>
          <a:r>
            <a:rPr lang="en-US" sz="1100" b="1" i="0" u="none" strike="noStrike" baseline="0">
              <a:solidFill>
                <a:srgbClr val="000000"/>
              </a:solidFill>
              <a:latin typeface="+mn-lt"/>
              <a:cs typeface="Arial"/>
            </a:rPr>
            <a:t>Note</a:t>
          </a:r>
          <a:r>
            <a:rPr lang="en-US" sz="1100" b="0" i="0" u="none" strike="noStrike" baseline="0">
              <a:solidFill>
                <a:srgbClr val="000000"/>
              </a:solidFill>
              <a:latin typeface="+mn-lt"/>
              <a:cs typeface="Arial"/>
            </a:rPr>
            <a:t>: Do not leave blank cells.</a:t>
          </a:r>
        </a:p>
      </xdr:txBody>
    </xdr:sp>
    <xdr:clientData/>
  </xdr:twoCellAnchor>
  <xdr:twoCellAnchor>
    <xdr:from>
      <xdr:col>5</xdr:col>
      <xdr:colOff>390525</xdr:colOff>
      <xdr:row>7</xdr:row>
      <xdr:rowOff>133350</xdr:rowOff>
    </xdr:from>
    <xdr:to>
      <xdr:col>8</xdr:col>
      <xdr:colOff>57150</xdr:colOff>
      <xdr:row>9</xdr:row>
      <xdr:rowOff>95250</xdr:rowOff>
    </xdr:to>
    <xdr:sp macro="[0]!RunRisk" textlink="">
      <xdr:nvSpPr>
        <xdr:cNvPr id="2221" name="Text 173" descr="11391ad7-399b-4003-844e-034fc38230d5"/>
        <xdr:cNvSpPr>
          <a:spLocks noChangeArrowheads="1"/>
        </xdr:cNvSpPr>
      </xdr:nvSpPr>
      <xdr:spPr bwMode="auto">
        <a:xfrm>
          <a:off x="3590925" y="1266825"/>
          <a:ext cx="1495425" cy="285750"/>
        </a:xfrm>
        <a:prstGeom prst="roundRect">
          <a:avLst>
            <a:gd name="adj" fmla="val 16667"/>
          </a:avLst>
        </a:prstGeom>
        <a:solidFill>
          <a:schemeClr val="accent6">
            <a:lumMod val="40000"/>
            <a:lumOff val="60000"/>
          </a:schemeClr>
        </a:solidFill>
        <a:ln w="9525">
          <a:solidFill>
            <a:srgbClr xmlns:mc="http://schemas.openxmlformats.org/markup-compatibility/2006" xmlns:a14="http://schemas.microsoft.com/office/drawing/2010/main" val="000000" mc:Ignorable="a14" a14:legacySpreadsheetColorIndex="64"/>
          </a:solidFill>
          <a:round/>
          <a:headEnd/>
          <a:tailEnd/>
        </a:ln>
        <a:effectLst>
          <a:glow rad="63500">
            <a:schemeClr val="accent6">
              <a:satMod val="175000"/>
              <a:alpha val="40000"/>
            </a:schemeClr>
          </a:glow>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Risk Analysis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0"/>
  <sheetViews>
    <sheetView showGridLines="0" showRowColHeaders="0" workbookViewId="0"/>
  </sheetViews>
  <sheetFormatPr defaultColWidth="0" defaultRowHeight="15" zeroHeight="1" x14ac:dyDescent="0.25"/>
  <cols>
    <col min="1" max="1" width="8.85546875" style="19" customWidth="1"/>
    <col min="2" max="2" width="87.5703125" style="19" customWidth="1"/>
    <col min="3" max="16" width="9.140625" style="3" customWidth="1"/>
    <col min="17" max="16384" width="0" style="3" hidden="1"/>
  </cols>
  <sheetData>
    <row r="1" spans="1:2" ht="22.5" x14ac:dyDescent="0.25">
      <c r="A1" s="21"/>
      <c r="B1" s="21" t="s">
        <v>10</v>
      </c>
    </row>
    <row r="2" spans="1:2" x14ac:dyDescent="0.25"/>
    <row r="3" spans="1:2" ht="30" x14ac:dyDescent="0.25">
      <c r="A3" s="20"/>
      <c r="B3" s="20" t="s">
        <v>39</v>
      </c>
    </row>
    <row r="4" spans="1:2" x14ac:dyDescent="0.25">
      <c r="A4" s="20"/>
      <c r="B4" s="20"/>
    </row>
    <row r="5" spans="1:2" ht="75" x14ac:dyDescent="0.25">
      <c r="A5" s="20"/>
      <c r="B5" s="20" t="s">
        <v>30</v>
      </c>
    </row>
    <row r="6" spans="1:2" x14ac:dyDescent="0.25">
      <c r="A6" s="20"/>
      <c r="B6" s="20"/>
    </row>
    <row r="7" spans="1:2" x14ac:dyDescent="0.25">
      <c r="A7" s="20"/>
      <c r="B7" s="20" t="s">
        <v>31</v>
      </c>
    </row>
    <row r="8" spans="1:2" x14ac:dyDescent="0.25">
      <c r="A8" s="20"/>
      <c r="B8" s="20"/>
    </row>
    <row r="9" spans="1:2" ht="75" x14ac:dyDescent="0.25">
      <c r="A9" s="20"/>
      <c r="B9" s="20" t="s">
        <v>32</v>
      </c>
    </row>
    <row r="10" spans="1:2" x14ac:dyDescent="0.25">
      <c r="A10" s="20"/>
      <c r="B10" s="20"/>
    </row>
    <row r="11" spans="1:2" ht="45" x14ac:dyDescent="0.25">
      <c r="A11" s="20"/>
      <c r="B11" s="20" t="s">
        <v>33</v>
      </c>
    </row>
    <row r="12" spans="1:2" x14ac:dyDescent="0.25">
      <c r="A12" s="20"/>
      <c r="B12" s="20"/>
    </row>
    <row r="13" spans="1:2" ht="60" x14ac:dyDescent="0.25">
      <c r="A13" s="20"/>
      <c r="B13" s="20" t="s">
        <v>34</v>
      </c>
    </row>
    <row r="14" spans="1:2" x14ac:dyDescent="0.25">
      <c r="A14" s="20"/>
      <c r="B14" s="20"/>
    </row>
    <row r="15" spans="1:2" ht="75" x14ac:dyDescent="0.25">
      <c r="A15" s="20"/>
      <c r="B15" s="20" t="s">
        <v>35</v>
      </c>
    </row>
    <row r="16" spans="1:2"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sheetData>
  <phoneticPr fontId="0" type="noConversion"/>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31"/>
  <sheetViews>
    <sheetView workbookViewId="0"/>
  </sheetViews>
  <sheetFormatPr defaultRowHeight="12.75" x14ac:dyDescent="0.2"/>
  <cols>
    <col min="1" max="2" width="36.7109375" customWidth="1"/>
  </cols>
  <sheetData>
    <row r="1" spans="1:16" x14ac:dyDescent="0.2">
      <c r="A1" s="16" t="s">
        <v>12</v>
      </c>
    </row>
    <row r="2" spans="1:16" x14ac:dyDescent="0.2">
      <c r="P2">
        <f ca="1">_xll.CB.RecalcCounterFN()</f>
        <v>0</v>
      </c>
    </row>
    <row r="3" spans="1:16" x14ac:dyDescent="0.2">
      <c r="A3" t="s">
        <v>13</v>
      </c>
      <c r="B3" t="s">
        <v>14</v>
      </c>
      <c r="C3">
        <v>0</v>
      </c>
    </row>
    <row r="4" spans="1:16" x14ac:dyDescent="0.2">
      <c r="A4" t="s">
        <v>15</v>
      </c>
    </row>
    <row r="5" spans="1:16" x14ac:dyDescent="0.2">
      <c r="A5" t="s">
        <v>16</v>
      </c>
    </row>
    <row r="7" spans="1:16" x14ac:dyDescent="0.2">
      <c r="A7" s="16" t="s">
        <v>17</v>
      </c>
      <c r="B7" t="s">
        <v>18</v>
      </c>
    </row>
    <row r="8" spans="1:16" x14ac:dyDescent="0.2">
      <c r="B8">
        <v>2</v>
      </c>
    </row>
    <row r="10" spans="1:16" x14ac:dyDescent="0.2">
      <c r="A10" t="s">
        <v>19</v>
      </c>
    </row>
    <row r="11" spans="1:16" x14ac:dyDescent="0.2">
      <c r="A11" t="e">
        <f>CB_DATA_!#REF!</f>
        <v>#REF!</v>
      </c>
      <c r="B11" t="e">
        <f>Model!#REF!</f>
        <v>#REF!</v>
      </c>
    </row>
    <row r="13" spans="1:16" x14ac:dyDescent="0.2">
      <c r="A13" t="s">
        <v>20</v>
      </c>
    </row>
    <row r="14" spans="1:16" x14ac:dyDescent="0.2">
      <c r="A14" t="s">
        <v>28</v>
      </c>
      <c r="B14" t="s">
        <v>24</v>
      </c>
    </row>
    <row r="16" spans="1:16" x14ac:dyDescent="0.2">
      <c r="A16" t="s">
        <v>21</v>
      </c>
    </row>
    <row r="19" spans="1:2" x14ac:dyDescent="0.2">
      <c r="A19" t="s">
        <v>22</v>
      </c>
    </row>
    <row r="20" spans="1:2" x14ac:dyDescent="0.2">
      <c r="A20">
        <v>28</v>
      </c>
      <c r="B20">
        <v>31</v>
      </c>
    </row>
    <row r="25" spans="1:2" x14ac:dyDescent="0.2">
      <c r="A25" s="16" t="s">
        <v>23</v>
      </c>
    </row>
    <row r="26" spans="1:2" x14ac:dyDescent="0.2">
      <c r="A26" s="17" t="s">
        <v>25</v>
      </c>
      <c r="B26" s="17" t="s">
        <v>27</v>
      </c>
    </row>
    <row r="27" spans="1:2" x14ac:dyDescent="0.2">
      <c r="A27" t="s">
        <v>29</v>
      </c>
      <c r="B27" t="s">
        <v>38</v>
      </c>
    </row>
    <row r="28" spans="1:2" x14ac:dyDescent="0.2">
      <c r="A28" s="17" t="s">
        <v>26</v>
      </c>
      <c r="B28" s="17" t="s">
        <v>26</v>
      </c>
    </row>
    <row r="29" spans="1:2" x14ac:dyDescent="0.2">
      <c r="B29" s="17" t="s">
        <v>25</v>
      </c>
    </row>
    <row r="30" spans="1:2" x14ac:dyDescent="0.2">
      <c r="B30" t="s">
        <v>37</v>
      </c>
    </row>
    <row r="31" spans="1:2" x14ac:dyDescent="0.2">
      <c r="B31" s="17" t="s">
        <v>26</v>
      </c>
    </row>
  </sheetData>
  <phoneticPr fontId="3"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U47"/>
  <sheetViews>
    <sheetView showGridLines="0" tabSelected="1" workbookViewId="0"/>
  </sheetViews>
  <sheetFormatPr defaultColWidth="0" defaultRowHeight="0" customHeight="1" zeroHeight="1" x14ac:dyDescent="0.25"/>
  <cols>
    <col min="1" max="1" width="6.28515625" style="3" customWidth="1"/>
    <col min="2" max="2" width="19.28515625" style="3" customWidth="1"/>
    <col min="3" max="3" width="7.7109375" style="3" customWidth="1"/>
    <col min="4" max="4" width="10.5703125" style="3" customWidth="1"/>
    <col min="5" max="5" width="7.7109375" style="3" customWidth="1"/>
    <col min="6" max="10" width="9.140625" style="3" customWidth="1"/>
    <col min="11" max="11" width="9.5703125" style="3" customWidth="1"/>
    <col min="12" max="16" width="9.140625" style="3" customWidth="1"/>
    <col min="17" max="255" width="9.140625" style="3" hidden="1" customWidth="1"/>
    <col min="256" max="16384" width="2.28515625" style="3" hidden="1"/>
  </cols>
  <sheetData>
    <row r="1" spans="1:20" ht="22.5" x14ac:dyDescent="0.3">
      <c r="A1" s="8"/>
      <c r="B1" s="23" t="s">
        <v>11</v>
      </c>
      <c r="C1" s="1"/>
      <c r="D1" s="1"/>
      <c r="E1" s="1"/>
      <c r="F1" s="1"/>
      <c r="G1" s="1"/>
      <c r="H1" s="2"/>
      <c r="I1" s="2"/>
      <c r="J1" s="2"/>
      <c r="K1" s="22" t="s">
        <v>36</v>
      </c>
      <c r="L1" s="2"/>
      <c r="M1" s="2"/>
      <c r="N1" s="2"/>
      <c r="O1" s="2"/>
      <c r="P1" s="2"/>
      <c r="Q1" s="2"/>
      <c r="R1" s="2"/>
    </row>
    <row r="2" spans="1:20" ht="15" x14ac:dyDescent="0.25">
      <c r="A2" s="1"/>
      <c r="B2" s="4"/>
      <c r="C2" s="5"/>
      <c r="D2" s="5"/>
      <c r="E2" s="5"/>
      <c r="F2" s="5"/>
      <c r="G2" s="1"/>
      <c r="H2" s="2"/>
      <c r="I2" s="2"/>
      <c r="J2" s="2"/>
      <c r="K2" s="2"/>
      <c r="L2" s="2"/>
      <c r="M2" s="2"/>
      <c r="N2" s="2"/>
      <c r="O2" s="2"/>
      <c r="P2" s="2"/>
      <c r="Q2" s="2"/>
      <c r="R2" s="2"/>
    </row>
    <row r="3" spans="1:20" ht="15" x14ac:dyDescent="0.25">
      <c r="A3" s="1"/>
      <c r="B3" s="5"/>
      <c r="C3" s="5"/>
      <c r="D3" s="5"/>
      <c r="E3" s="5"/>
      <c r="F3" s="5"/>
      <c r="G3" s="1"/>
      <c r="H3" s="2"/>
      <c r="I3" s="2"/>
      <c r="J3" s="2"/>
      <c r="K3" s="2"/>
      <c r="L3" s="2"/>
      <c r="M3" s="2"/>
      <c r="N3" s="2"/>
      <c r="O3" s="2"/>
      <c r="P3" s="2"/>
      <c r="Q3" s="2"/>
      <c r="R3" s="2"/>
    </row>
    <row r="4" spans="1:20" ht="15" x14ac:dyDescent="0.25">
      <c r="A4" s="1"/>
      <c r="B4" s="5"/>
      <c r="C4" s="5"/>
      <c r="D4" s="5"/>
      <c r="E4" s="5"/>
      <c r="F4" s="5"/>
      <c r="G4" s="1"/>
      <c r="H4" s="2"/>
      <c r="I4" s="2"/>
      <c r="J4" s="2"/>
      <c r="K4" s="2"/>
      <c r="L4" s="2"/>
      <c r="M4" s="2"/>
      <c r="N4" s="2"/>
      <c r="O4" s="2"/>
      <c r="P4" s="2"/>
      <c r="Q4" s="2"/>
      <c r="R4" s="2"/>
    </row>
    <row r="5" spans="1:20" ht="15" x14ac:dyDescent="0.25">
      <c r="A5" s="1"/>
      <c r="B5" s="5"/>
      <c r="C5" s="5"/>
      <c r="D5" s="5"/>
      <c r="E5" s="5"/>
      <c r="F5" s="5"/>
      <c r="G5" s="1"/>
      <c r="H5" s="2"/>
      <c r="I5" s="2"/>
      <c r="J5" s="2"/>
      <c r="K5" s="2"/>
      <c r="L5" s="2"/>
      <c r="M5" s="2"/>
      <c r="N5" s="2"/>
      <c r="O5" s="2"/>
      <c r="P5" s="2"/>
      <c r="Q5" s="2"/>
      <c r="R5" s="2"/>
    </row>
    <row r="6" spans="1:20" ht="15" x14ac:dyDescent="0.25">
      <c r="A6" s="1"/>
      <c r="B6" s="5"/>
      <c r="C6" s="5"/>
      <c r="D6" s="5"/>
      <c r="E6" s="5"/>
      <c r="F6" s="5"/>
      <c r="G6" s="1"/>
      <c r="H6" s="2"/>
      <c r="I6" s="2"/>
      <c r="J6" s="2"/>
      <c r="K6" s="2"/>
      <c r="L6" s="2"/>
      <c r="M6" s="2"/>
      <c r="N6" s="2"/>
      <c r="O6" s="2"/>
      <c r="P6" s="2"/>
      <c r="Q6" s="2"/>
      <c r="R6" s="2"/>
    </row>
    <row r="7" spans="1:20" ht="15" x14ac:dyDescent="0.25">
      <c r="A7" s="1"/>
      <c r="B7" s="5"/>
      <c r="C7" s="5"/>
      <c r="D7" s="5"/>
      <c r="E7" s="5"/>
      <c r="F7" s="5"/>
      <c r="G7" s="1"/>
      <c r="H7" s="2"/>
      <c r="I7" s="2"/>
      <c r="J7" s="2"/>
      <c r="K7" s="2"/>
      <c r="L7" s="2"/>
      <c r="M7" s="2"/>
      <c r="N7" s="2"/>
      <c r="O7" s="2"/>
      <c r="P7" s="2"/>
      <c r="Q7" s="2"/>
      <c r="R7" s="2"/>
    </row>
    <row r="8" spans="1:20" ht="15" x14ac:dyDescent="0.25">
      <c r="A8" s="1"/>
      <c r="B8" s="5"/>
      <c r="C8" s="5"/>
      <c r="D8" s="5"/>
      <c r="E8" s="5"/>
      <c r="F8" s="5"/>
      <c r="G8" s="1"/>
      <c r="H8" s="2"/>
      <c r="I8" s="2"/>
      <c r="J8" s="2"/>
      <c r="K8" s="2"/>
      <c r="L8" s="2"/>
      <c r="M8" s="2"/>
      <c r="N8" s="2"/>
      <c r="O8" s="2"/>
      <c r="P8" s="2"/>
      <c r="Q8" s="2"/>
      <c r="R8" s="2"/>
    </row>
    <row r="9" spans="1:20" ht="15" x14ac:dyDescent="0.25">
      <c r="A9" s="1"/>
      <c r="B9" s="1"/>
      <c r="C9" s="1"/>
      <c r="D9" s="1"/>
      <c r="E9" s="1"/>
      <c r="F9" s="1"/>
      <c r="G9" s="1"/>
      <c r="H9" s="2"/>
      <c r="I9" s="2"/>
      <c r="J9" s="2"/>
      <c r="K9" s="2"/>
      <c r="L9" s="2"/>
      <c r="M9" s="2"/>
      <c r="N9" s="2"/>
      <c r="O9" s="2"/>
      <c r="P9" s="2"/>
      <c r="Q9" s="2"/>
      <c r="R9" s="2"/>
      <c r="T9" s="2"/>
    </row>
    <row r="10" spans="1:20" ht="15" x14ac:dyDescent="0.25">
      <c r="A10" s="1"/>
      <c r="B10" s="1"/>
      <c r="C10" s="1"/>
      <c r="D10" s="1"/>
      <c r="E10" s="1"/>
      <c r="F10" s="1"/>
      <c r="G10" s="1"/>
      <c r="H10" s="2"/>
      <c r="I10" s="2"/>
      <c r="J10" s="2"/>
      <c r="K10" s="2"/>
      <c r="L10" s="2"/>
      <c r="M10" s="2"/>
      <c r="N10" s="2"/>
      <c r="O10" s="2"/>
      <c r="P10" s="2"/>
      <c r="Q10" s="2"/>
      <c r="R10" s="2"/>
    </row>
    <row r="11" spans="1:20" ht="21" customHeight="1" x14ac:dyDescent="0.25">
      <c r="A11" s="2"/>
      <c r="B11" s="2"/>
      <c r="C11" s="2"/>
      <c r="D11" s="2"/>
      <c r="E11" s="2"/>
      <c r="F11" s="2"/>
      <c r="G11" s="2"/>
      <c r="H11" s="2"/>
      <c r="I11" s="2"/>
      <c r="J11" s="2"/>
      <c r="K11" s="2"/>
      <c r="L11" s="2"/>
      <c r="M11" s="2"/>
      <c r="N11" s="2"/>
      <c r="O11" s="2"/>
      <c r="P11" s="2"/>
      <c r="Q11" s="2"/>
      <c r="R11" s="2"/>
    </row>
    <row r="12" spans="1:20" ht="18.75" customHeight="1" x14ac:dyDescent="0.25">
      <c r="A12" s="2"/>
      <c r="B12" s="28" t="s">
        <v>0</v>
      </c>
      <c r="C12" s="29"/>
      <c r="D12" s="29"/>
      <c r="E12" s="30"/>
      <c r="F12" s="2"/>
      <c r="G12" s="2"/>
      <c r="H12" s="2"/>
      <c r="I12" s="2"/>
      <c r="J12" s="2"/>
      <c r="K12" s="2"/>
      <c r="L12" s="2"/>
      <c r="M12" s="2"/>
      <c r="N12" s="2"/>
      <c r="O12" s="2"/>
      <c r="P12" s="2"/>
      <c r="Q12" s="2"/>
      <c r="R12" s="2"/>
    </row>
    <row r="13" spans="1:20" ht="15" x14ac:dyDescent="0.25">
      <c r="A13" s="2"/>
      <c r="B13" s="25" t="s">
        <v>1</v>
      </c>
      <c r="C13" s="26" t="s">
        <v>2</v>
      </c>
      <c r="D13" s="26" t="s">
        <v>3</v>
      </c>
      <c r="E13" s="27" t="s">
        <v>4</v>
      </c>
      <c r="F13" s="2"/>
      <c r="G13" s="2"/>
      <c r="H13" s="2"/>
      <c r="I13" s="2"/>
      <c r="J13" s="2"/>
      <c r="K13" s="2"/>
      <c r="L13" s="2"/>
      <c r="M13" s="2"/>
      <c r="N13" s="2"/>
      <c r="O13" s="2"/>
      <c r="P13" s="2"/>
      <c r="Q13" s="2"/>
      <c r="R13" s="2"/>
    </row>
    <row r="14" spans="1:20" ht="15" x14ac:dyDescent="0.25">
      <c r="A14" s="2"/>
      <c r="B14" s="24" t="s">
        <v>5</v>
      </c>
      <c r="C14" s="6">
        <v>12</v>
      </c>
      <c r="D14" s="9">
        <v>13</v>
      </c>
      <c r="E14" s="13">
        <v>15</v>
      </c>
      <c r="F14" s="2"/>
      <c r="G14" s="2"/>
      <c r="H14" s="2"/>
      <c r="I14" s="2"/>
      <c r="J14" s="2"/>
      <c r="K14" s="2"/>
      <c r="L14" s="2"/>
      <c r="M14" s="2"/>
      <c r="N14" s="2"/>
      <c r="O14" s="2"/>
      <c r="P14" s="2"/>
      <c r="Q14" s="2"/>
      <c r="R14" s="2"/>
    </row>
    <row r="15" spans="1:20" ht="15" x14ac:dyDescent="0.25">
      <c r="A15" s="2"/>
      <c r="B15" s="24" t="s">
        <v>6</v>
      </c>
      <c r="C15" s="6">
        <v>20</v>
      </c>
      <c r="D15" s="9">
        <v>25</v>
      </c>
      <c r="E15" s="13">
        <v>35</v>
      </c>
      <c r="F15" s="2"/>
      <c r="G15" s="2"/>
      <c r="H15" s="2"/>
      <c r="I15" s="2"/>
      <c r="J15" s="2"/>
      <c r="K15" s="2"/>
      <c r="L15" s="2"/>
      <c r="M15" s="2"/>
      <c r="N15" s="2"/>
      <c r="O15" s="2"/>
      <c r="P15" s="2"/>
      <c r="Q15" s="2"/>
      <c r="R15" s="2"/>
    </row>
    <row r="16" spans="1:20" ht="15" x14ac:dyDescent="0.25">
      <c r="A16" s="2"/>
      <c r="B16" s="24" t="s">
        <v>7</v>
      </c>
      <c r="C16" s="6">
        <v>14</v>
      </c>
      <c r="D16" s="9">
        <v>15</v>
      </c>
      <c r="E16" s="13">
        <v>25</v>
      </c>
      <c r="F16" s="2"/>
      <c r="G16" s="2"/>
      <c r="H16" s="2"/>
      <c r="I16" s="2"/>
      <c r="J16" s="2"/>
      <c r="K16" s="2"/>
      <c r="L16" s="2"/>
      <c r="M16" s="2"/>
      <c r="N16" s="2"/>
      <c r="O16" s="2"/>
      <c r="P16" s="2"/>
      <c r="Q16" s="2"/>
      <c r="R16" s="2"/>
    </row>
    <row r="17" spans="1:18" ht="15" x14ac:dyDescent="0.25">
      <c r="A17" s="2"/>
      <c r="B17" s="24" t="s">
        <v>8</v>
      </c>
      <c r="C17" s="6">
        <v>5</v>
      </c>
      <c r="D17" s="9">
        <v>10</v>
      </c>
      <c r="E17" s="13">
        <v>15</v>
      </c>
      <c r="F17" s="2"/>
      <c r="G17" s="2"/>
      <c r="H17" s="2"/>
      <c r="I17" s="2"/>
      <c r="J17" s="2"/>
      <c r="K17" s="2"/>
      <c r="L17" s="2"/>
      <c r="M17" s="2"/>
      <c r="N17" s="2"/>
      <c r="O17" s="2"/>
      <c r="P17" s="2"/>
      <c r="Q17" s="2"/>
      <c r="R17" s="2"/>
    </row>
    <row r="18" spans="1:18" ht="15" x14ac:dyDescent="0.25">
      <c r="A18" s="2"/>
      <c r="B18" s="12"/>
      <c r="C18" s="7"/>
      <c r="D18" s="6"/>
      <c r="E18" s="13"/>
      <c r="F18" s="2"/>
      <c r="G18" s="2"/>
      <c r="H18" s="2"/>
      <c r="I18" s="2"/>
      <c r="J18" s="2"/>
      <c r="K18" s="2"/>
      <c r="L18" s="2"/>
      <c r="M18" s="2"/>
      <c r="N18" s="2"/>
      <c r="O18" s="2"/>
      <c r="P18" s="2"/>
      <c r="Q18" s="2"/>
      <c r="R18" s="2"/>
    </row>
    <row r="19" spans="1:18" ht="15" x14ac:dyDescent="0.25">
      <c r="A19" s="2"/>
      <c r="B19" s="12"/>
      <c r="C19" s="7"/>
      <c r="D19" s="6"/>
      <c r="E19" s="13"/>
      <c r="F19" s="2"/>
      <c r="G19" s="2"/>
      <c r="H19" s="2"/>
      <c r="I19" s="2"/>
      <c r="J19" s="2"/>
      <c r="K19" s="2"/>
      <c r="L19" s="2"/>
      <c r="M19" s="2"/>
      <c r="N19" s="2"/>
      <c r="O19" s="2"/>
      <c r="P19" s="2"/>
      <c r="Q19" s="2"/>
      <c r="R19" s="2"/>
    </row>
    <row r="20" spans="1:18" ht="15" x14ac:dyDescent="0.25">
      <c r="A20" s="2"/>
      <c r="B20" s="14"/>
      <c r="C20" s="7"/>
      <c r="D20" s="6"/>
      <c r="E20" s="15"/>
      <c r="F20" s="2"/>
      <c r="G20" s="2"/>
      <c r="H20" s="2"/>
      <c r="I20" s="2"/>
      <c r="J20" s="2"/>
      <c r="K20" s="2"/>
      <c r="L20" s="2"/>
      <c r="M20" s="2"/>
      <c r="N20" s="2"/>
      <c r="O20" s="2"/>
      <c r="P20" s="2"/>
      <c r="Q20" s="2"/>
      <c r="R20" s="2"/>
    </row>
    <row r="21" spans="1:18" ht="15" x14ac:dyDescent="0.25">
      <c r="A21" s="2"/>
      <c r="B21" s="12"/>
      <c r="C21" s="7"/>
      <c r="D21" s="6"/>
      <c r="E21" s="13"/>
      <c r="F21" s="2"/>
      <c r="G21" s="2"/>
      <c r="H21" s="2"/>
      <c r="I21" s="2"/>
      <c r="J21" s="2"/>
      <c r="K21" s="2"/>
      <c r="L21" s="2"/>
      <c r="M21" s="2"/>
      <c r="N21" s="2"/>
      <c r="O21" s="2"/>
      <c r="P21" s="2"/>
      <c r="Q21" s="2"/>
      <c r="R21" s="2"/>
    </row>
    <row r="22" spans="1:18" ht="15" x14ac:dyDescent="0.25">
      <c r="A22" s="2"/>
      <c r="B22" s="12"/>
      <c r="C22" s="7"/>
      <c r="D22" s="6"/>
      <c r="E22" s="13"/>
      <c r="F22" s="2"/>
      <c r="G22" s="2"/>
      <c r="H22" s="2"/>
      <c r="I22" s="2"/>
      <c r="J22" s="2"/>
      <c r="K22" s="2"/>
      <c r="L22" s="2"/>
      <c r="M22" s="2"/>
      <c r="N22" s="2"/>
      <c r="O22" s="2"/>
      <c r="P22" s="2"/>
      <c r="Q22" s="2"/>
      <c r="R22" s="2"/>
    </row>
    <row r="23" spans="1:18" ht="15.75" thickBot="1" x14ac:dyDescent="0.3">
      <c r="A23" s="2"/>
      <c r="B23" s="12"/>
      <c r="C23" s="7"/>
      <c r="D23" s="6"/>
      <c r="E23" s="13"/>
      <c r="F23" s="2"/>
      <c r="G23" s="2"/>
      <c r="H23" s="2"/>
      <c r="I23" s="2"/>
      <c r="J23" s="2"/>
      <c r="K23" s="2"/>
      <c r="L23" s="2"/>
      <c r="M23" s="2"/>
      <c r="N23" s="2"/>
      <c r="O23" s="2"/>
      <c r="P23" s="2"/>
      <c r="Q23" s="2"/>
      <c r="R23" s="2"/>
    </row>
    <row r="24" spans="1:18" ht="15.75" thickBot="1" x14ac:dyDescent="0.3">
      <c r="A24" s="2"/>
      <c r="B24" s="10" t="s">
        <v>9</v>
      </c>
      <c r="C24" s="11"/>
      <c r="D24" s="11"/>
      <c r="E24" s="18">
        <f>SUM(D14:D23)</f>
        <v>63</v>
      </c>
      <c r="F24" s="2"/>
      <c r="G24" s="2"/>
      <c r="H24" s="2"/>
      <c r="I24" s="2"/>
      <c r="J24" s="2"/>
      <c r="K24" s="2"/>
      <c r="L24" s="2"/>
      <c r="M24" s="2"/>
      <c r="N24" s="2"/>
      <c r="O24" s="2"/>
      <c r="P24" s="2"/>
      <c r="Q24" s="2"/>
      <c r="R24" s="2"/>
    </row>
    <row r="25" spans="1:18" ht="15" x14ac:dyDescent="0.25">
      <c r="A25" s="2"/>
      <c r="B25" s="2"/>
      <c r="C25" s="2"/>
      <c r="D25" s="2"/>
      <c r="E25" s="2"/>
      <c r="F25" s="2"/>
      <c r="G25" s="2"/>
      <c r="H25" s="2"/>
      <c r="I25" s="2"/>
      <c r="J25" s="2"/>
      <c r="K25" s="2"/>
      <c r="L25" s="2"/>
      <c r="M25" s="2"/>
      <c r="N25" s="2"/>
      <c r="O25" s="2"/>
      <c r="P25" s="2"/>
      <c r="Q25" s="2"/>
      <c r="R25" s="2"/>
    </row>
    <row r="26" spans="1:18" ht="15" x14ac:dyDescent="0.25">
      <c r="A26" s="2"/>
      <c r="B26" s="2"/>
      <c r="C26" s="2"/>
      <c r="D26" s="2"/>
      <c r="E26" s="2"/>
      <c r="F26" s="2"/>
      <c r="G26" s="2"/>
      <c r="H26" s="2"/>
      <c r="I26" s="2"/>
      <c r="J26" s="2"/>
      <c r="K26" s="2"/>
      <c r="L26" s="2"/>
      <c r="M26" s="2"/>
      <c r="N26" s="2"/>
      <c r="O26" s="2"/>
      <c r="P26" s="2"/>
      <c r="Q26" s="2"/>
      <c r="R26" s="2"/>
    </row>
    <row r="27" spans="1:18" ht="15" x14ac:dyDescent="0.25">
      <c r="A27" s="2"/>
      <c r="B27" s="2"/>
      <c r="C27" s="2"/>
      <c r="D27" s="2"/>
      <c r="E27" s="2"/>
      <c r="F27" s="2"/>
      <c r="G27" s="2"/>
      <c r="H27" s="2"/>
      <c r="I27" s="2"/>
      <c r="J27" s="2"/>
      <c r="K27" s="2"/>
      <c r="L27" s="2"/>
      <c r="M27" s="2"/>
      <c r="N27" s="2"/>
      <c r="O27" s="2"/>
      <c r="P27" s="2"/>
      <c r="Q27" s="2"/>
      <c r="R27" s="2"/>
    </row>
    <row r="28" spans="1:18" ht="15" x14ac:dyDescent="0.25">
      <c r="A28" s="2"/>
      <c r="B28" s="2"/>
      <c r="C28" s="2"/>
      <c r="D28" s="2"/>
      <c r="E28" s="2"/>
      <c r="F28" s="2"/>
      <c r="G28" s="2"/>
      <c r="H28" s="2"/>
      <c r="I28" s="2"/>
      <c r="J28" s="2"/>
      <c r="K28" s="2"/>
      <c r="L28" s="2"/>
      <c r="M28" s="2"/>
      <c r="N28" s="2"/>
      <c r="O28" s="2"/>
      <c r="P28" s="2"/>
      <c r="Q28" s="2"/>
      <c r="R28" s="2"/>
    </row>
    <row r="29" spans="1:18" ht="15" x14ac:dyDescent="0.25">
      <c r="A29" s="2"/>
      <c r="B29" s="2"/>
      <c r="C29" s="2"/>
      <c r="D29" s="2"/>
      <c r="E29" s="2"/>
      <c r="F29" s="2"/>
      <c r="G29" s="2"/>
      <c r="H29" s="2"/>
      <c r="I29" s="2"/>
      <c r="J29" s="2"/>
      <c r="K29" s="2"/>
      <c r="L29" s="2"/>
      <c r="M29" s="2"/>
      <c r="N29" s="2"/>
      <c r="O29" s="2"/>
      <c r="P29" s="2"/>
      <c r="Q29" s="2"/>
      <c r="R29" s="2"/>
    </row>
    <row r="30" spans="1:18" ht="15" x14ac:dyDescent="0.25">
      <c r="A30" s="2"/>
      <c r="B30" s="2"/>
      <c r="C30" s="2"/>
      <c r="D30" s="2"/>
      <c r="E30" s="2"/>
      <c r="F30" s="2"/>
      <c r="G30" s="2"/>
      <c r="H30" s="2"/>
      <c r="I30" s="2"/>
      <c r="J30" s="2"/>
      <c r="K30" s="2"/>
      <c r="L30" s="2"/>
      <c r="M30" s="2"/>
      <c r="N30" s="2"/>
      <c r="O30" s="2"/>
      <c r="P30" s="2"/>
      <c r="Q30" s="2"/>
      <c r="R30" s="2"/>
    </row>
    <row r="31" spans="1:18" ht="15" x14ac:dyDescent="0.25">
      <c r="A31" s="2"/>
      <c r="B31" s="2"/>
      <c r="C31" s="2"/>
      <c r="D31" s="2"/>
      <c r="E31" s="2"/>
      <c r="F31" s="2"/>
      <c r="G31" s="2"/>
      <c r="H31" s="2"/>
      <c r="I31" s="2"/>
      <c r="J31" s="2"/>
      <c r="K31" s="2"/>
      <c r="L31" s="2"/>
      <c r="M31" s="2"/>
      <c r="N31" s="2"/>
      <c r="O31" s="2"/>
      <c r="P31" s="2"/>
      <c r="Q31" s="2"/>
      <c r="R31" s="2"/>
    </row>
    <row r="32" spans="1:18" ht="15" x14ac:dyDescent="0.25">
      <c r="A32" s="2"/>
      <c r="B32" s="2"/>
      <c r="C32" s="2"/>
      <c r="D32" s="2"/>
      <c r="E32" s="2"/>
      <c r="F32" s="2"/>
      <c r="G32" s="2"/>
      <c r="H32" s="2"/>
      <c r="I32" s="2"/>
      <c r="J32" s="2"/>
      <c r="K32" s="2"/>
      <c r="L32" s="2"/>
      <c r="M32" s="2"/>
      <c r="N32" s="2"/>
      <c r="O32" s="2"/>
      <c r="P32" s="2"/>
      <c r="Q32" s="2"/>
      <c r="R32" s="2"/>
    </row>
    <row r="33" spans="1:18" ht="15" x14ac:dyDescent="0.25">
      <c r="A33" s="2"/>
      <c r="B33" s="2"/>
      <c r="C33" s="2"/>
      <c r="D33" s="2"/>
      <c r="E33" s="2"/>
      <c r="F33" s="2"/>
      <c r="G33" s="2"/>
      <c r="H33" s="2"/>
      <c r="I33" s="2"/>
      <c r="J33" s="2"/>
      <c r="K33" s="2"/>
      <c r="L33" s="2"/>
      <c r="M33" s="2"/>
      <c r="N33" s="2"/>
      <c r="O33" s="2"/>
      <c r="P33" s="2"/>
      <c r="Q33" s="2"/>
      <c r="R33" s="2"/>
    </row>
    <row r="34" spans="1:18" ht="15" x14ac:dyDescent="0.25">
      <c r="A34" s="2"/>
      <c r="B34" s="2"/>
      <c r="C34" s="2"/>
      <c r="D34" s="2"/>
      <c r="E34" s="2"/>
      <c r="F34" s="2"/>
      <c r="G34" s="2"/>
      <c r="H34" s="2"/>
      <c r="I34" s="2"/>
      <c r="J34" s="2"/>
      <c r="K34" s="2"/>
      <c r="L34" s="2"/>
      <c r="M34" s="2"/>
      <c r="N34" s="2"/>
      <c r="O34" s="2"/>
      <c r="P34" s="2"/>
      <c r="Q34" s="2"/>
      <c r="R34" s="2"/>
    </row>
    <row r="35" spans="1:18" ht="15" x14ac:dyDescent="0.25">
      <c r="A35" s="2"/>
      <c r="B35" s="2"/>
      <c r="C35" s="2"/>
      <c r="D35" s="2"/>
      <c r="E35" s="2"/>
      <c r="F35" s="2"/>
      <c r="G35" s="2"/>
      <c r="H35" s="2"/>
      <c r="I35" s="2"/>
      <c r="J35" s="2"/>
      <c r="K35" s="2"/>
      <c r="L35" s="2"/>
      <c r="M35" s="2"/>
      <c r="N35" s="2"/>
      <c r="O35" s="2"/>
      <c r="P35" s="2"/>
      <c r="Q35" s="2"/>
      <c r="R35" s="2"/>
    </row>
    <row r="36" spans="1:18" ht="15" x14ac:dyDescent="0.25">
      <c r="A36" s="2"/>
      <c r="B36" s="2"/>
      <c r="C36" s="2"/>
      <c r="D36" s="2"/>
      <c r="E36" s="2"/>
      <c r="F36" s="2"/>
      <c r="G36" s="2"/>
      <c r="H36" s="2"/>
      <c r="I36" s="2"/>
      <c r="J36" s="2"/>
      <c r="K36" s="2"/>
      <c r="L36" s="2"/>
      <c r="M36" s="2"/>
      <c r="N36" s="2"/>
      <c r="O36" s="2"/>
      <c r="P36" s="2"/>
      <c r="Q36" s="2"/>
      <c r="R36" s="2"/>
    </row>
    <row r="37" spans="1:18" ht="15" x14ac:dyDescent="0.25">
      <c r="A37" s="2"/>
      <c r="B37" s="2"/>
      <c r="C37" s="2"/>
      <c r="D37" s="2"/>
      <c r="E37" s="2"/>
      <c r="F37" s="2"/>
      <c r="G37" s="2"/>
      <c r="H37" s="2"/>
      <c r="I37" s="2"/>
      <c r="J37" s="2"/>
      <c r="K37" s="2"/>
      <c r="L37" s="2"/>
      <c r="M37" s="2"/>
      <c r="N37" s="2"/>
      <c r="O37" s="2"/>
      <c r="P37" s="2"/>
      <c r="Q37" s="2"/>
      <c r="R37" s="2"/>
    </row>
    <row r="38" spans="1:18" ht="15" x14ac:dyDescent="0.25">
      <c r="A38" s="2"/>
      <c r="B38" s="2"/>
      <c r="C38" s="2"/>
      <c r="D38" s="2"/>
      <c r="E38" s="2"/>
      <c r="F38" s="2"/>
      <c r="G38" s="2"/>
      <c r="H38" s="2"/>
      <c r="I38" s="2"/>
      <c r="J38" s="2"/>
      <c r="K38" s="2"/>
      <c r="L38" s="2"/>
      <c r="M38" s="2"/>
      <c r="N38" s="2"/>
      <c r="O38" s="2"/>
      <c r="P38" s="2"/>
      <c r="Q38" s="2"/>
      <c r="R38" s="2"/>
    </row>
    <row r="39" spans="1:18" ht="15" x14ac:dyDescent="0.25">
      <c r="A39" s="2"/>
      <c r="B39" s="2"/>
      <c r="C39" s="2"/>
      <c r="D39" s="2"/>
      <c r="E39" s="2"/>
      <c r="F39" s="2"/>
      <c r="G39" s="2"/>
      <c r="H39" s="2"/>
      <c r="I39" s="2"/>
      <c r="J39" s="2"/>
      <c r="K39" s="2"/>
      <c r="L39" s="2"/>
      <c r="M39" s="2"/>
      <c r="N39" s="2"/>
      <c r="O39" s="2"/>
      <c r="P39" s="2"/>
      <c r="Q39" s="2"/>
      <c r="R39" s="2"/>
    </row>
    <row r="40" spans="1:18" ht="15" x14ac:dyDescent="0.25">
      <c r="A40" s="2"/>
      <c r="B40" s="2"/>
      <c r="C40" s="2"/>
      <c r="D40" s="2"/>
      <c r="E40" s="2"/>
      <c r="F40" s="2"/>
      <c r="G40" s="2"/>
      <c r="H40" s="2"/>
      <c r="I40" s="2"/>
      <c r="J40" s="2"/>
      <c r="K40" s="2"/>
      <c r="L40" s="2"/>
      <c r="M40" s="2"/>
      <c r="N40" s="2"/>
      <c r="O40" s="2"/>
      <c r="P40" s="2"/>
      <c r="Q40" s="2"/>
      <c r="R40" s="2"/>
    </row>
    <row r="41" spans="1:18" ht="12" customHeight="1" x14ac:dyDescent="0.25">
      <c r="A41" s="2"/>
      <c r="B41" s="2"/>
      <c r="C41" s="2"/>
      <c r="D41" s="2"/>
      <c r="E41" s="2"/>
      <c r="F41" s="2"/>
      <c r="G41" s="2"/>
      <c r="H41" s="2"/>
      <c r="I41" s="2"/>
      <c r="J41" s="2"/>
      <c r="K41" s="2"/>
      <c r="L41" s="2"/>
      <c r="M41" s="2"/>
      <c r="N41" s="2"/>
      <c r="O41" s="2"/>
      <c r="P41" s="2"/>
      <c r="Q41" s="2"/>
      <c r="R41" s="2"/>
    </row>
    <row r="42" spans="1:18" ht="12" customHeight="1" x14ac:dyDescent="0.25">
      <c r="A42" s="2"/>
      <c r="B42" s="2"/>
      <c r="C42" s="2"/>
      <c r="D42" s="2"/>
      <c r="E42" s="2"/>
      <c r="F42" s="2"/>
      <c r="G42" s="2"/>
      <c r="H42" s="2"/>
      <c r="I42" s="2"/>
      <c r="J42" s="2"/>
      <c r="K42" s="2"/>
      <c r="L42" s="2"/>
      <c r="M42" s="2"/>
      <c r="N42" s="2"/>
      <c r="O42" s="2"/>
      <c r="P42" s="2"/>
      <c r="Q42" s="2"/>
      <c r="R42" s="2"/>
    </row>
    <row r="43" spans="1:18" ht="12" customHeight="1" x14ac:dyDescent="0.25">
      <c r="A43" s="2"/>
      <c r="B43" s="2"/>
      <c r="C43" s="2"/>
      <c r="D43" s="2"/>
      <c r="E43" s="2"/>
      <c r="F43" s="2"/>
      <c r="G43" s="2"/>
      <c r="H43" s="2"/>
      <c r="I43" s="2"/>
      <c r="J43" s="2"/>
      <c r="K43" s="2"/>
      <c r="L43" s="2"/>
      <c r="M43" s="2"/>
      <c r="N43" s="2"/>
      <c r="O43" s="2"/>
      <c r="P43" s="2"/>
      <c r="Q43" s="2"/>
      <c r="R43" s="2"/>
    </row>
    <row r="44" spans="1:18" ht="12" customHeight="1" x14ac:dyDescent="0.25">
      <c r="A44" s="2"/>
      <c r="B44" s="2"/>
      <c r="C44" s="2"/>
      <c r="D44" s="2"/>
      <c r="E44" s="2"/>
      <c r="F44" s="2"/>
      <c r="G44" s="2"/>
      <c r="H44" s="2"/>
      <c r="I44" s="2"/>
      <c r="J44" s="2"/>
      <c r="K44" s="2"/>
      <c r="L44" s="2"/>
      <c r="M44" s="2"/>
      <c r="N44" s="2"/>
      <c r="O44" s="2"/>
      <c r="P44" s="2"/>
      <c r="Q44" s="2"/>
      <c r="R44" s="2"/>
    </row>
    <row r="45" spans="1:18" ht="12" customHeight="1" x14ac:dyDescent="0.25">
      <c r="A45" s="2"/>
      <c r="B45" s="2"/>
      <c r="C45" s="2"/>
      <c r="D45" s="2"/>
      <c r="E45" s="2"/>
      <c r="F45" s="2"/>
      <c r="G45" s="2"/>
      <c r="H45" s="2"/>
      <c r="I45" s="2"/>
      <c r="J45" s="2"/>
      <c r="K45" s="2"/>
      <c r="L45" s="2"/>
      <c r="M45" s="2"/>
      <c r="N45" s="2"/>
      <c r="O45" s="2"/>
      <c r="P45" s="2"/>
      <c r="Q45" s="2"/>
      <c r="R45" s="2"/>
    </row>
    <row r="46" spans="1:18" ht="12" customHeight="1" x14ac:dyDescent="0.25">
      <c r="A46" s="2"/>
      <c r="B46" s="2"/>
      <c r="C46" s="2"/>
      <c r="D46" s="2"/>
      <c r="E46" s="2"/>
      <c r="F46" s="2"/>
      <c r="G46" s="2"/>
      <c r="H46" s="2"/>
      <c r="I46" s="2"/>
      <c r="J46" s="2"/>
      <c r="K46" s="2"/>
      <c r="L46" s="2"/>
      <c r="M46" s="2"/>
      <c r="N46" s="2"/>
      <c r="O46" s="2"/>
      <c r="P46" s="2"/>
      <c r="Q46" s="2"/>
      <c r="R46" s="2"/>
    </row>
    <row r="47" spans="1:18" ht="12" customHeight="1" x14ac:dyDescent="0.25"/>
  </sheetData>
  <mergeCells count="1">
    <mergeCell ref="B12:E12"/>
  </mergeCells>
  <phoneticPr fontId="0" type="noConversion"/>
  <hyperlinks>
    <hyperlink ref="K1" location="Description!A1" display="Learn about model"/>
  </hyperlinks>
  <pageMargins left="0.75" right="0.75" top="1" bottom="1" header="0.5" footer="0.5"/>
  <pageSetup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Description</vt:lpstr>
      <vt:lpstr>CB_DATA_</vt:lpstr>
      <vt:lpstr>Model</vt:lpstr>
      <vt:lpstr>Forecast</vt:lpstr>
    </vt:vector>
  </TitlesOfParts>
  <Company>Oracle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Cost Estimation Template</dc:title>
  <dc:creator>Crystal Ball</dc:creator>
  <cp:keywords>VBA, cost estimation, Developer Kit, project cost</cp:keywords>
  <cp:lastModifiedBy>ewainwri</cp:lastModifiedBy>
  <cp:lastPrinted>2003-11-24T19:41:59Z</cp:lastPrinted>
  <dcterms:created xsi:type="dcterms:W3CDTF">2001-05-17T22:32:47Z</dcterms:created>
  <dcterms:modified xsi:type="dcterms:W3CDTF">2014-06-03T00:21:16Z</dcterms:modified>
  <cp:category>Cost Estimation</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