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20" windowWidth="16170" windowHeight="11580" activeTab="2"/>
  </bookViews>
  <sheets>
    <sheet name="Description" sheetId="1" r:id="rId1"/>
    <sheet name="CB_DATA_" sheetId="3" state="hidden" r:id="rId2"/>
    <sheet name="Model" sheetId="2" r:id="rId3"/>
  </sheets>
  <definedNames>
    <definedName name="CB_0d10352a259e4b609654c5189a2dfb0d" localSheetId="2" hidden="1">Model!$D$15</definedName>
    <definedName name="CB_1fd169531bf440e5b0d42a9c1cefffdc" localSheetId="2" hidden="1">Model!$D$7</definedName>
    <definedName name="CB_2150178da3c34768af6eb2734da6ccf6" localSheetId="2" hidden="1">Model!$D$6</definedName>
    <definedName name="CB_282521436981468393a3947c5d164490" localSheetId="2" hidden="1">Model!$D$18</definedName>
    <definedName name="CB_394b6a0bcc314352928b10c0d010aace" localSheetId="2" hidden="1">Model!$D$20</definedName>
    <definedName name="CB_70d691b3845a45c4a99e858da1cd234b" localSheetId="2" hidden="1">Model!$D$5</definedName>
    <definedName name="CB_8504e07e1c7046b59df002512b746ac3" localSheetId="2" hidden="1">#N/A</definedName>
    <definedName name="CB_a8bfe4e9b68f4061afba173afb05dd94" localSheetId="2" hidden="1">Model!$D$9</definedName>
    <definedName name="CB_b03c49c7f7da40ca98d726fbf25dc961" localSheetId="2" hidden="1">Model!$D$13</definedName>
    <definedName name="CB_Block_00000000000000000000000000000000" localSheetId="1" hidden="1">"'7.0.0.0"</definedName>
    <definedName name="CB_Block_00000000000000000000000000000000" localSheetId="2" hidden="1">"'7.0.0.0"</definedName>
    <definedName name="CB_Block_00000000000000000000000000000001" localSheetId="1" hidden="1">"'635301513010856639"</definedName>
    <definedName name="CB_Block_00000000000000000000000000000001" localSheetId="2" hidden="1">"'635301513011296664"</definedName>
    <definedName name="CB_Block_00000000000000000000000000000003" localSheetId="1" hidden="1">"'11.1.954.0"</definedName>
    <definedName name="CB_Block_00000000000000000000000000000003" localSheetId="2" hidden="1">"'11.1.3833.0"</definedName>
    <definedName name="CB_BlockExt_00000000000000000000000000000003" localSheetId="1" hidden="1">"'11.1.1.3.00"</definedName>
    <definedName name="CB_BlockExt_00000000000000000000000000000003" localSheetId="2" hidden="1">"'11.1.2.4.000"</definedName>
    <definedName name="CB_c7fb7ec605cd4bbbaaa3201d3822432b" localSheetId="2" hidden="1">Model!$D$8</definedName>
    <definedName name="CB_d21f45c38260465b95b49487df00990e" localSheetId="2" hidden="1">Model!$D$14</definedName>
    <definedName name="CB_e72400a674804bcd8759a86a30278985" localSheetId="2" hidden="1">Model!$D$19</definedName>
    <definedName name="CBCR_a2c534f4f76e4caf97000515ce4d5dcf" localSheetId="2" hidden="1">Model!$C$18:$D$20</definedName>
    <definedName name="CBWorkbookPriority" localSheetId="1" hidden="1">-717168741</definedName>
    <definedName name="CBx_35e6213e3be047d78e283ab11525662c" localSheetId="1" hidden="1">"'Model'!$A$1"</definedName>
    <definedName name="CBx_c7afb4de0f2a402dac169eef1844a62b" localSheetId="1" hidden="1">"'CB_DATA_'!$A$1"</definedName>
    <definedName name="CBx_Sheet_Guid" localSheetId="1" hidden="1">"'c7afb4de-0f2a-402d-ac16-9eef1844a62b"</definedName>
    <definedName name="CBx_Sheet_Guid" localSheetId="2" hidden="1">"'35e6213e-3be0-47d7-8e28-3ab11525662c"</definedName>
    <definedName name="CBx_SheetRef" localSheetId="1" hidden="1">CB_DATA_!$A$14</definedName>
    <definedName name="CBx_SheetRef" localSheetId="2" hidden="1">CB_DATA_!$B$14</definedName>
    <definedName name="CBx_StorageType" localSheetId="1" hidden="1">2</definedName>
    <definedName name="CBx_StorageType" localSheetId="2" hidden="1">2</definedName>
    <definedName name="Coil_Dia">Model!$D$6</definedName>
    <definedName name="Deflection">Model!$D$9</definedName>
    <definedName name="Elasticity">Model!$D$7</definedName>
    <definedName name="Material_1_Strength">Model!$D$13</definedName>
    <definedName name="Material_2_Strength">Model!$D$14</definedName>
    <definedName name="Material_3_Strength">Model!$D$15</definedName>
    <definedName name="Number_of_Coils">Model!$D$8</definedName>
    <definedName name="Stress">Model!$D$10</definedName>
    <definedName name="Wire_Dia">Model!$D$5</definedName>
  </definedNames>
  <calcPr calcId="145621" iterate="1" iterateCount="10"/>
</workbook>
</file>

<file path=xl/calcChain.xml><?xml version="1.0" encoding="utf-8"?>
<calcChain xmlns="http://schemas.openxmlformats.org/spreadsheetml/2006/main">
  <c r="A11" i="3" l="1"/>
  <c r="B11" i="3"/>
  <c r="D10" i="2"/>
  <c r="D18" i="2" s="1"/>
  <c r="D19" i="2" l="1"/>
  <c r="D20" i="2"/>
</calcChain>
</file>

<file path=xl/comments1.xml><?xml version="1.0" encoding="utf-8"?>
<comments xmlns="http://schemas.openxmlformats.org/spreadsheetml/2006/main">
  <authors>
    <author>A satisfied Microsoft Office user</author>
  </authors>
  <commentList>
    <comment ref="D5" authorId="0">
      <text>
        <r>
          <rPr>
            <sz val="8"/>
            <color indexed="81"/>
            <rFont val="Tahoma"/>
            <family val="2"/>
          </rPr>
          <t>Assumption: Wire Diameter, in.
Normal distribution
   Mean 0.1500
   Standard Dev. 0.0015
Selected range is 
   from  -Infinity to  +Infinity</t>
        </r>
      </text>
    </comment>
    <comment ref="D6" authorId="0">
      <text>
        <r>
          <rPr>
            <sz val="8"/>
            <color indexed="81"/>
            <rFont val="Tahoma"/>
            <family val="2"/>
          </rPr>
          <t>Assumption: Coil Diameter, in.
Normal distribution
   Mean 0.8000
   Standard Dev. 0.0150
Selected range is 
   from  -Infinity to  +Infinity</t>
        </r>
      </text>
    </comment>
    <comment ref="D7" authorId="0">
      <text>
        <r>
          <rPr>
            <sz val="8"/>
            <color indexed="81"/>
            <rFont val="Tahoma"/>
            <family val="2"/>
          </rPr>
          <t>Assumption: Shearing Modulus of Elasticity
Normal distribution
   Mean 1.15E+7
   Standard Dev. 2.00E+5
Selected range is 
   from  -Infinity to  +Infinity</t>
        </r>
      </text>
    </comment>
    <comment ref="D8" authorId="0">
      <text>
        <r>
          <rPr>
            <sz val="8"/>
            <color indexed="81"/>
            <rFont val="Tahoma"/>
            <family val="2"/>
          </rPr>
          <t>Assumption: Number of Coils
Normal distribution
   Mean 20.00
   Standard Dev. 0.50
Selected range is 
   from  19.00 to  21.00</t>
        </r>
      </text>
    </comment>
    <comment ref="D9" authorId="0">
      <text>
        <r>
          <rPr>
            <sz val="8"/>
            <color indexed="81"/>
            <rFont val="Tahoma"/>
            <family val="2"/>
          </rPr>
          <t>Assumption: Spring Deflection, in.
Normal distribution
   Mean 0.95
   Standard Dev. 0.01
Selected range is 
   from  -Infinity to  +Infinity</t>
        </r>
      </text>
    </comment>
    <comment ref="D13" authorId="0">
      <text>
        <r>
          <rPr>
            <sz val="8"/>
            <color indexed="81"/>
            <rFont val="Tahoma"/>
            <family val="2"/>
          </rPr>
          <t>Assumption: Material 1 Strength
Uniform distribution
   Minimum 46,000
   Maximum 54,000</t>
        </r>
      </text>
    </comment>
    <comment ref="D14" authorId="0">
      <text>
        <r>
          <rPr>
            <sz val="8"/>
            <color indexed="81"/>
            <rFont val="Tahoma"/>
            <family val="2"/>
          </rPr>
          <t>Assumption: Material 2 Strength
Triangular distribution
   Minimum 48,500
   Likeliest 51,000
   Maximum 51,500
Selected range is 
   from  48,500 to  51,500</t>
        </r>
      </text>
    </comment>
    <comment ref="D15" authorId="0">
      <text>
        <r>
          <rPr>
            <sz val="8"/>
            <color indexed="81"/>
            <rFont val="Tahoma"/>
            <family val="2"/>
          </rPr>
          <t>Assumption: Material 3 Strength
Weibull distribution
   Location 49,000
   Scale 3,000
   Shape 6
Selected range is 
   from  49,000 to  +Infinity</t>
        </r>
      </text>
    </comment>
    <comment ref="D18" authorId="0">
      <text>
        <r>
          <rPr>
            <sz val="8"/>
            <color indexed="81"/>
            <rFont val="Tahoma"/>
            <family val="2"/>
          </rPr>
          <t>Forecast: Material 1 Reliability</t>
        </r>
      </text>
    </comment>
    <comment ref="D19" authorId="0">
      <text>
        <r>
          <rPr>
            <sz val="8"/>
            <color indexed="81"/>
            <rFont val="Tahoma"/>
            <family val="2"/>
          </rPr>
          <t>Forecast: Material 2 Reliability</t>
        </r>
      </text>
    </comment>
    <comment ref="D20" authorId="0">
      <text>
        <r>
          <rPr>
            <sz val="8"/>
            <color indexed="81"/>
            <rFont val="Tahoma"/>
            <family val="2"/>
          </rPr>
          <t>Forecast: Material 3 Reliability</t>
        </r>
      </text>
    </comment>
  </commentList>
</comments>
</file>

<file path=xl/sharedStrings.xml><?xml version="1.0" encoding="utf-8"?>
<sst xmlns="http://schemas.openxmlformats.org/spreadsheetml/2006/main" count="59" uniqueCount="52">
  <si>
    <t>Stress Parameters</t>
  </si>
  <si>
    <t>Distribution</t>
  </si>
  <si>
    <t>Wire Diameter (in)</t>
  </si>
  <si>
    <t>Normal</t>
  </si>
  <si>
    <t>Coil Diameter (in)</t>
  </si>
  <si>
    <t>Shear Modulus of Elasticity (psi)</t>
  </si>
  <si>
    <t>Number of Coils</t>
  </si>
  <si>
    <t>Deflection (in)</t>
  </si>
  <si>
    <t>Peak Shearing Stress (psi)</t>
  </si>
  <si>
    <t>Steel Strength (from Vendor)</t>
  </si>
  <si>
    <t>Material 1 Strength</t>
  </si>
  <si>
    <t>Uniform</t>
  </si>
  <si>
    <t>Material 2 Strength</t>
  </si>
  <si>
    <t>Triangular</t>
  </si>
  <si>
    <t>Material 3 Strength</t>
  </si>
  <si>
    <t>Weibull</t>
  </si>
  <si>
    <t>Reliability</t>
  </si>
  <si>
    <t>Material 1 Reliability</t>
  </si>
  <si>
    <t>Material 2 Reliability</t>
  </si>
  <si>
    <t>Material 3 Reliability</t>
  </si>
  <si>
    <t>Author</t>
  </si>
  <si>
    <t>Summary</t>
  </si>
  <si>
    <t>Reliability Tornado DevKit Example</t>
  </si>
  <si>
    <t>Reliability of a Helical Spring with Developer's Kit</t>
  </si>
  <si>
    <t>This sample illustrates how to use the Tornado Analysis tool through the Crystal Ball Developer's Kit . Aspects of Tornado Analysis that are covered include selecting target and input variables, setting the execution and output properties, and execution and retrieving output results for variables and test points. Refer to the VBA code comments in this model and the Oracle Crystal Ball Developer's Guide for information on how to use the developer's kit.</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</si>
  <si>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</si>
  <si>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</si>
  <si>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</si>
  <si>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</si>
  <si>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</si>
  <si>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</si>
  <si>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</si>
  <si>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</si>
  <si>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</si>
  <si>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</si>
  <si>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</si>
  <si>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</si>
  <si>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35e6213e-3be0-47d7-8e28-3ab11525662c</t>
  </si>
  <si>
    <t>CB_Block_0</t>
  </si>
  <si>
    <t>㜸〱敤㕣㕢㙣ㅣ㔷ㄹ摥㤹扤㜸挷昶挶摢㌸扤愴㤴搶愵㉤㉤㜵戴挴㑤〳㉤㈸愴扥㌴㘹㕡㈷㜱㘲愷㉤搷捤㜸昷㑣㍣挹捥㡣㌳㌳敢挴㔰㈸㤷戶㕣〴ㄵㄴ㈴㔴㈸〲ㄵ〱㠲〷㔴㕥㔰换攵〱〹〹㔴戵㠸㠷ち㠹〷愴㜲ㄱ㈰㠱㔰㈴㕥晡㔰愹㝣摦㌹戳扢戳扢摥戱扢㘹挱㐵㍥㡥㡦捦㥣摢㥣昳摦捦晦㥦㐹㑡㑢愵㔲慦㈰昱㉦㔳㠶㠵慢收㔷㠳㔰㌸愵㘹慦㔶ㄳ㤵搰昶摣愰㌴改晢收敡慣ㅤ㠴㘹㜴挸㤵㙤戴〷搹㜲㘰㝦㔸攴换㉢挲て搰㈹㥢㑡攵昳㠶㡥㜶㑥挲摦㘲攳挱攰愸攱っ戲㠵改愹愳㡢愷㌱敢㝣攸昹㘲搷搸扤㙡散扥㠹㠹搲㐴㘹捦㙤㝢昶㤴㜶敦ㅡ㥢慥搷挲扡㉦昶戹愲ㅥ晡㘶㙤搷搸㕣㝤戱㘶㔷敥ㄱ慢ぢ摥ㄹ攱敥ㄳ㡢扢昷㉣㥡户摥㌶㜱敢摥扤搶敤户摦㌶㡣㔷愷㡥㑣㑦捤昹挲ち㕥愳㌹戳㕣昲慤㌳愲㘲㜳㙦㐲昸戶㝢慡㌴㍤㠵㝦戱昵攳改㥤愵昹㈵㈱㐲扥㕡昸挲慤㠸挰挰挰㈱㘷㌲〸敡捥㌲㠱㘷㌸〷戰搵㡡ㄹ㠴㔹㘷㕡搴㙡㠶搳㤸㌵敦ㅣ〵散㙡收敡戰㌳㉦摣挰づ敤ㄵ㍢㕣捤㌹ぢ㤸愸㕡㜰㑥〴攲戸改㥥ㄲ㐷㑣㐷㘴㥤㠳㜵扢㥡㔱㈹㤵扥戱㌱㐵㝣㘱㜲晢愵挹挰㤹㕥㌲㝤戹愲㠰㠰㐹攸㝢挰慦戴昷扤慥昷扣㕣扡㝣〳攷扣愱㜷㍦戴摣㙢晡捤㥥攳扤㝢㐶㥢㙦㕦挱摢㝢昷㡦挱愸㝤捣摢㝡㡦㤱愰㙣敦慤つ㐵昴㉤㈱㡡捤ㄸ㌹㘶〳捣昲捣㠸㐰㘳㤰搹㄰戳㘱㘴㕡收摦攰㤲昸㐰㌶改㘵㔳㉦㉦敡攵㡡㕥慥敡㘵愱㤷㉤扤㝣㑡㉦㉦改㘵㕢㉦㥦搶换㘷搰愷㤱昲〳〳㝡㤴㥥㥡㝥㘱昱㑢挷扥㝥挷て㑥㡦㍣昲攷㉦晣晤搹攱㙤攸㜴㉣㕡搴㡣㙦㥥〳愹戵愸昸㤶搲㙥晥慣捦ㄵ㘰ち㙢慦昵㑥㙢㘲愲扡㜷户戹挷捣㜲㕢〹挸㙦㈳㤴㈲晡づ㕢昷搹㙥搵㍢㈷㜱㜷搵㤴ㄹ㠸ㄶ攰挶愳戶㈹慦敥㔶㠳㌷慤摤㌸ㅦ㥡愱戸戲戳慤㌵㐹搷戰㜹戰㤵〸攴晢慥敥ㅣ㜶慦㔹慢㡢挹昳戶㙡㝥㜳㐷戳㌳攷㝢㡢扤㕢て昸攲㙣戳戵㙢㐵㤳㄰㙡㉢㜲敥慥㕤慡㈶戵慥戱改㈵㉦㄰慥㕣摥戸㌳㘷㔷捥〸㝦㕥㔰㈴㡡慡摣敡愵㙣㡡戸㝥晣愸㡢㡤㠲㕢慢㙦㠹搷㕡㜷㥥て挱捣愲㡡昵㉥ぢ㍦㕣㕤㌰ㄷ㙢攲戲戶㉥敡㥤㘸搸搹㔶㝤挰慢搴㠳㘹捦つ㝤慦搶摥㌲㔹㕤㌱㈱㘹慡㠷扤慡挸㘴㔲㔲㈸㐰攰愶搳㥡㤶扡戹㌷㉦㐸㐴挴㔰㑣㐶扥愲㥤散㑡挷戱㍢散愲㈶㐸㤳晡昵敢㑣挶昵㑡ㄹ㤳挰㠱戱㍤㔱㝦昰愵㌷慤㌳㙤ㄳ㜳慦㙦㘷㕤ㅦ㡤㜶㝦攷㡡㜰挳扢㑣户㕡ㄳ㝥愲昶搳戸㈲㘳〴㔹昶〲〴㐲㑦攸㔱搵㘹攷戵搵散㌹扢ㅡ㉥攵㤶㠴㝤㙡㈹㐴ㅤ㌴㘴㍥㑦搰㜶㈵攳ㄲ㔴ㄹ摢㤹㡤㈲ㅢㅣ㑣攵㜶戰㔳㙥㄰㈹㤵愵㜴㑡攰攵㌶㐱捥㜱㙤扣㍣㙣ㅤ戰㙢愱㔰㐲㜹挴〲㐶㤴㔶㤳攸㉢㤰㐴㝤戳愲ㄴ挶づ㙢ㅡ㔴㙡摡㙥戸摡攲摢㉥㉥㔱㐴戴㈵ぢ㌶㥤㉣愰㈸㘸㤷〷〹扣〶愲改㤰〶挹㥤㘳㐴㐴㌶㐸搰散㤸戹㥤挸搸㍦㐱㐶愰㝦㥣〸搹㝢㜷㙦ㄹ㐱㘲敦㈶㔲づ敡挹㡦㕢搲㙣㉤㕢㕥㐹戳㑢〱㌸攳㌲㘶㤷㌳扢㠲搹㑥㘴摡㕦㈱攱㈸攵㔰㙥㑦挶㥢昰㙣㕣挵散捤挸㈰㥦っ捡㥣㐸㔴搱㠶摡㠸ㅤ挹㝥〵搸挹搲㈸㔶愲㠸㤶㜱搳捥㉣㌸ㄲ搱㤱搵戹㌹㜴㙤㐶敡搸户昶愶捤昸㜶㐸㤱〹㕤攳㝢㕤愷㙢ㅣ㄰散摡愷摥扡〶㐳㡤㌱㘶搷㈲㔳㡡㠵挶敥挶慣㜹㥡㤳㙦〸㤳㐸ㄹ㐲㝤㉡昷㠸㠸㘹晥㈷〸戸慥愳换㤶晤㑣㔳㜰摣㝡挳摢捦扢㝡昳㜶㠴昴づ㥤戹愵㜳攸㉢㝡㤵ㄶ昴㕢挰㕥摡ㅦ㝡敡㤷敢搱㙣摣挰散慤挸㍡昴ぢ㑦摥慦搶㑢㈰㑤㘲㈷㠶戹敤昴戸㐸ぢ㜷㘱㜵㔹㐸敤㌳㙣㉤㤸晥㈹ㄱ挲㝢㜱㘸〶㜶戰攷晢愲㠶〳㙤㔵㔶昰散㜲㜹㝢㘵㜰挰昷ㅣ搶㙦搹挷挱ㅢ㐲㌱㘴㌲㝡㍡搵㘱ㅦ㈷搸㤹㌱㝦㔳㡣㜲愸㝦昷昴ㄶㄲ戱㐱敤攴挵㜱挹㘷换㉤㐹搲㠷㈴戹〹㘰㌵摥㠶っ㔲㐲晢㕤㑦㠹㌲捥㙥扢㘴户㜶㙢㤵摥扤㠴㤳㐹㠷晦戰㑢㡥っ㈹㘷敤ㄴ㝣〷㐱挱㤹户㥤愶戰ㄸ㜲收㠴㕦㠱㕦挱慥㠹㐱攵㤲愵愸搹㤲ㄵ㙦㄰㔹㤱㑥㜷㥤愵ㄳ㝣㙢㤲㑥㍡愴㐴㈲户㈷㌶㈶㥣挳㕢㐴㐵ㄷ㈴㠵㑡㠲㕢愸㈹㠱㐸㜹散扢㈵㘲晡㄰㌱㈵〰捥㜸㍢戳摤捣㈶㤰㘵㝦〳㐹戳㔱挰㌳ㄴ㌶戰㐲㜷㜶戹㥣捡ㄳつ搲㍤昸㝣㑦㘱㜵㉢㕦戳㤷搹㍢㤰㜵㤸㍦㜴㍥㈶㄰愲㐴㜹㡣㄰㘹㉤ㄹ搶扤戶㌸㐷ㅡ搸㘶㈱愸㌴㕤て㐲捦㘱㔴愹㘰捤㜸㐷扣㜰挶づ㤶ㄱ㠵ㅡ戵愲挲㝤㑢挲〵㜵昹戰㝤㍡敡扣攵㘵㔱㌵慣㜹慦づ搱㜶㘸㘶㌳ㅣ捡戱㍦搸㤲昲㕣慥㙢㐸晤㥤㡤㌱㠵㈶㑦挴昰戵搲ㄳ扢㈱捦㌷て㝤㈳㉤㠸㉥搸㘱㑤っ㔹㡡改㔸捥㕢㠰㈲愲〶搵〱㙢㘱挹ㄷ㘲愶㘰ㅤ昴敤㙡捤㜶〵㤱〱ㅢ㤳㠱扡㔹㜱ちㄱ㠲㌹㡦昱㍦捦㉤㔸ぢ扥改〶换㈶㠳㠹慢摢摢㥥㘴㐸㈴㙢㑤搹㙥㠰搷㐸㉣戲㍣㘲捤㉦㜹攷㄰慤慤㍢敥㐱㜳㌹搸ㄴ㔸㈱搱慢㈴㔱愳改㥡慥㙢㜹㍤摦㉦㝥㜸㈰㑦愵㙥挱㙦㠶㤹挴㔵㉡㑢㝦㜹㠲昶愶㕤ㅦ挵㘷㘸愷㜳㑤挳㠸ㅣ㌵㉢搳㠹㔲㤸㥣㙡摣挶㌱户㈳扢晢攰㠹㐳慤愸摣㐵挵慢戳昴昰㈷挸㜸㐹ㄶ捤㈰〸晤㜳摢ㄴ愹戰㡥㤴〳づ〴挶昹搴㐹㝥㠳㤶散㐳敡摢搶㉡ㅥ㐰ㄴ㘹搸㥡㌵ㄷ㐵つ戱㘸挷っ户愹〷㥡戱㡥㔹ぢ愲戶㘹捦㜱㑣㤲ㄶ挹㜲扥㘲㤲㠲㈷敢愱㜷搸㜶つぢ㤹愴扦愸捡㍣㡦㉡昳扣慣ㅡ戶㡥㌳㉣㈸换㥣换㍢㘵晡㜶戸攴搸㤵㍣ㅦㄸ扡摢ㄴ㌴〹㈶愷攴㙤愴㠶捣ㄸ敢戰收㑦挰㘴ぢ㑡㐰㜷〹㜲㤴愰㈳晡㐱戹扡㤶挳㡦搶愷㘳〹〲㐶㝡㐹㡤㜷㘳戶慣扣ㄹ〱㤱㈳搳㠵挶晤㡢ぢて愲㐶昹攵㠸昵〴ㄲ㠱㐷㌰㈶攴改摥捥㔹㈷㕣㍢〴昶㠸戱〳㜶㌸ㄳ〰攵挸㔰㤴挷摢㉢㈵㔶㘳㠳挶㥢㕡攱㥡敥愶㌶㌵㜱㜵㜷㝢㕣㙦㕣扦㐶戳搲㈸㌱㐵戲㕥㈷愹㔹搶㔸攳㘶㔲㌵㥡㔴摣つ㙤愳㈵戹㑤㕢㜰愷ㄴ戹〸挵㈴㘹㈶㘵散㤳㠴㠲㈰㉦愹〳㍡㡡晥晡㘴昲㠸㐵㙢㘸〳っ㔲㑦愹扡㐲ㄴづ㍣㠴㉢㈷㔵㌱ㄸ㍤㠱扦户㐵挵愳昵戰慤挵㍣㍦ㅡ戵㑣搶㙡㐷㕤㔸〹ㄵ搳慦㙥ㄲ㤶挶摥㤴㠶㤱摣搹慦昶㔷攰㡤㌱㘲挴㠶っ㠹㈴昸㠱挱㠶㘰慥㔸㌴㤵搶㔹㠱愰㙥㔶攷昹㜴㔸㤸慥挴挰㝣㔸㥤ㄱ㉢搲っ㙢㔹昲愳㜲㐰昳戴㈸攵愸㘱㑤㉥〶㔰改㈱攵㜸㔴㤲っ㙥㔸挷改㤶挲〵〶㠸摤愸㌴㔷〹ㄱ搶㙤㑥挰㤳挱收挱づ㈰愲挲㈶戴捥㈸㐱㜳〹㠴摢扥〹昲㑥㥦ㄸ㠵㈰戵㘴晡搷㝥敤㙢㡦㌳㝤㝦㝦慡㔱㠸㤸㠸愱慥〴敢〱挸㡤㐷㈵挹㐵愳㡤㘰戹㤲㙣㔲㘸つ㌷敡㘸㘲ㄴ㘸昲昹㈱㙥昰㌰㡥㌵㐲戶愹攱㡥㕢㘸㐳㥢搶㔶户㔹㠷摣㑡慤㕥ㄵ㔲ㄵ㌷㘴戵搴挸㥢〲㕦昲晡㥦攲愶〴戸㐴㐰㌹㠴愳ㄴ户㑣㈴昵㙦㜷ㅢ敦挱㜰㈹攴㌰㠷㤲㙤っ㍥㈶戸攵㘴㌰慣敢㡥〲敤挳敤慤换ぢ昲攲ㅣ㐴㕡㔷ㄵ㘵搹㉣敥攲㌵㈳挸㤲摢㘲摤㘶扤㔹㡦㌶㝢慣敡㉥㕢㔵㙤ちㅣ㘱㥦㑡攰攵㜲㌰㐶晡攴づ㑥㤲扡㄰㐵㜶㉦㍣㈸ㅦ㔳ㄷ昶㐷挶㠷挶昸㉥㑦㐱㈹㐰ㄵ㡣㐴㠳㕢㙦㔹摤ㅡ㈳扦戴扣㡤㍢㤰㘹っ〱搳愰㐵㑦㘵攰㑣愱扣扥㠱挳㘰㘴㐲㜴㌴ㅥ㐸㘵㡣㜲ㄴづ㝢㈰つ摣挴㠳昴㠲〷㈵ㄴ敥㤰㤷挲ㅡ昷ㄲ挷ㅤㅣ㠱㍣晦戲㡥捡㌹㌳挴搵ㄷ㜷㘷㐷昵㘴戵㑡㜳ㄷ晥戹㑤㠱㔵㕣摢㔰收攸㡥㡥ぢ㔹㜲㑦戴敦慥敢㘸㠸㉥ち摥㌲㔳扡换っ㉢㑢昳攱慡扡戴搵㉦㐹㘴㝦づ㝦挴㥡㙦愷捤㥣㜱㜹〹㜵㠵戰ㅦ㍣攳㝡攷㕣戹慥㙣挰ㅢ㝦戴㘲㡤㠱〱㉥㜲㌰昵ち㝥㘴搲㔳搹㥦㘱挶㡤㉣㥢ㄳ戴ㅣ㈴㥣㐷㈶㈵つ挶㔰㑥愰ㄳ搸敥捤ㅢ〳愴㤳ㅤㅤ㜴㈲〵挱ㄶ愱戸愷㕥㌳㐲搱㝥ち戴㤲㔸搴㤱ㅣ㌰晦㉥㔸㕦晢〹㙡㠸㜰㜹挲㔲愸扢㌶ㄹ㜵㔲㤰㐷搷㍢㜸ㄹ攴晦〷㑢つ㙥㕥㤳㥤晥ぢ捣慣㍤搳㠹愲慢㠹愲愷㈳ㄴ〱搶㤱愴捦㌲㄰晢慡㐲摥㕣晤搶㔱昳㜵扦搶晢㍦㍣㙡摥㑤敡㐰㤲搶ㄸ㠲㙡搷愳㉣㡤㠱摣㍤㈸㡤㐴户㈰㄰昰㠵㥤㍢〶㘷戸㤶敥㌲㄰㙥㐰㐷㘹㈰捣㜲ㅥ挶昰㤵㠱㄰㜹㐰㡥愰㘲㝤〳㠱㤱扤〴㌳㌰ㄶ㘸㡤㌹㌵㜸晥扡捣愱㜷散㉥㕣戹ㄵ〱愲昹㔰㔹挱㌴晣㔱㤷㜷㔷捦㤹扥改散㤴昵〷㝤〱㔵收㉦攰づ户ㅣ挲ㄱ㔷慥搹㈲〷慤攱愹㘸昸搸户扣㈹ㅢ扢戹づ㑣愹愴㥣昷㕡㕥换㕤㠴㥦㐴攳愹㈱昵㤱ㅤ㍦㍣昸挷て㍦戴㥦㜷搵㈲晡捤㌲㌸摣㑦挰㥥搶〴㐲扡戱㙢㈲㤷昲㤳㥣挳昸㌸挹㕥慥㠹㈹搳㤷㌶㔰㘰㌸㡤愲㈲扣ㄸ㘱㉡攲摢っ〶㈶㙥㍤㈸〳戳搴攱散㤴㥦㌴㐹〷㘱㈹戶㜰挹摣㡤愰愱搶㔳㡤昵㘹㙢㘶㝦〴㐵昴㉡ㄷ搲㙥㈳昲捣挹愴㘹㑦㜵㙡扡扤搴㜴搲晥搰挶搱愳㜱㡣搱昵㉥㈹挵敢〰㔲㑡ㅤ㐳㈱㕢㐲㤶㄰㔷敢っ昰搲ㅢ戰㈵〴㐴昳捡㕦㥦㥦慦〰㡡搴㈰晣㜲攵㈲㤸㥦㤶㘸㐳㕤㌱㔰㉢㑦㈴挷㔱㤰㐷ㄷ㔶㌰㜲㉢㙢攷㔱㘸愴㉣戴㔷㤲ㄷ戵摤ㄹ挵㤷ㄴㅣㄵ㜶㔳㡣㥤㜵攸㘹ㅢ㜴敥㜴敢戸昷〱㍤㤳㤳ち挳摤捥㙡ㅣ㐷㘵㠴㑥㜵ㅤ㔴㔵捣㐷㔴戱㌹㘸㈸㙡㠲捥㜲㜷攲㑣㡡搰ㅦ扦ㄱ㘲晢㜸㙢敡㑢㍢㕢愸攳摣〱㙣㤰扦戰挹慥㑥㘰㙣扣㤵ㅣ〳〹扢愱㕥㜹㜵㌱㝣〱㐳愴㡤慦ㄹ慤㈲摦愵㘹㡣㔰㌷㌸㉢摤捤㔹㡣㕤㑢捥㍡挱摥っ㘲户改晦晢㔰戱慥晥搷ㄸ㜹㤳㈸扢㍦㉡昰㈱换攸挹扡〱ㅢ㐲〴㝥㙤㠴㙥攴戱搸㤰㐵〶扣㔵㘹ㅥ㥦慤慡㘶㈹挱攱昵捡㜴㕥㡣㘸㡥愵扤㍢搴㔳〰㌲㌲㤴晤ㅥ㐴㔰捦昱㕣㜴昷搹㌶昷㍥㔴敦㌸㙣㔷㝣㉦昰慣㜰㙣ㅥ㈱摦㌱㝥㜵㘶挱收㤹搴扥搳㈹搴慥〳㈴㠶㍦㠰㌱㐷㡥㐲㘰ㅦㄱ攱㙢ㄵ㠹㘴㕣㘱㘳㜱っ㝥㠱㔴㡣〵㤷愸ㅤ㠲㑢慣㘳㜵戳㠶㡦㔶㡦挲搳ㄹ戲㙡㔳㈸㍢攵㙦敥扣㥦㐱搰攱㠶搶㍤昰〶㠹㕡〹愱㌱戹㠵昷㝦㤰㜰敤㠴㐱㝢摦㘸㙦〱㝢昶攷㜱ㅢ捣㝥ㅢ㌸摤搸㕢摡㐹㠶敦攴户挸㠳挶㠷㤸㈳昶㐳㡦改挶摤戳㥣㙤ㄴ㜴ㅥ㝤捡㑤㌷搸㜸つ捥戳つ挴扥换ㄸ慡摤挱っ扦挶挹愸挰〷㡤㍥㍥戲愲昶㑤㙣㡢っ㠰㜲㉡户㠸慣㌷㔵㝦〳摤摡晣〶愴㙡敤㙥㡣㈱ㄵづ㙡㑦愰㥤㔰㔲扢ㄵ慣挳昱㐳ㅥ㈱㔰㌶挰ㅡ捤愴昱〸㈱摦晦㌸〶㌴摦扦㠴摡摥敦晦敡㥡敦愷昲㤷晢㍢摤㥣ㅤ㠴摥㔰ㅥ挶ㄹ搴ㅡ㌵㘶づ㌳ㄷ㔹戱愱㐳㐶㈸ㄶ㈹㙢㜲㉡戰昰捣㝥㤴㤱㝥ㅢ晤㝤㜱晦昳捦㌱晤㜳扦㈶〵㈱㥡っ㑦昶㔰㤹㐶㐱㈸㜷昱挵昸㉥捥愲戶昷㉥ㅥ㕤㙢ㄷ㐵捡㐸㕥㐷㌱〲㘴㠵ㄱ㡤戴㈲㜷ㄵ㐶〵㠹㌵㠹㔰昶慡㈳㙢愴攲㐹㤴攴搸ㄵㄴ㌰㤶㤰㤷㘳捦㐵〵㍥ㄴ〹㝥昶㉡ㄴ㡢㠴㤴㉡㘶〹㥥㠴㡦㝤愴搵挴换㤱昴敦攴㤴㠳㌶愷㜴㘵摥㠹㍣戳㥢㐲㘲㐴㍥昵㥥㠲㍥搷㘷搴㕦晢㑣㈷扡㙥〰㙣㥢攴愲散㔴㤲ㄷ〱愹㝤扡戳昳㔹㠹〸㌴㤱愶㔴㘷㤲愱散晣㐸㘷攷㈷㥢㥤㕦㙣㜴㈶戹捡捥て㜷㜶㝥㍦㍡㌷愸㔳捤㕣㈴㘹㐶㘸㈵ㄵ㈵ㄸ挳昲㜸㄰晢㜸㥢愷敥慣㐵〵㍢㘴愹㙡㡡㔶ㄹ㔹慥㐹ㄵ㍢㡣扢㈲㍥㍥㥦㥥挵搵㈷摣㄰㠱ㄴ㔶晦㡢挲㈱㕣㠹㥡㌱㐳ㄳ㕦㐷慦㈰ㄶ敤ㅢ昲㠹㠳㜳搶㔱ㅦㄵ〳搶愱〰㠷慥敡愶愲ㄶ搸ぢㄹㅤ㕢㡥㠸㐶敦㐹㌵〹㠱捥ㄶ㍣ㅡ㌱㌴㥤㔷㑣晡搳㉥㌲敥㤲搱㍥搵㐴昲挷㕢㕥㜸攳㘳㔸㈷攴愸㕣㉦戴挸㠳㈸愸㌸捤づ㔶ㄵ㈹㈰㈸挳㡣㑦㈰㉢愴㡢ㄴつ㡡ち㌴捡〳㔲㐲敥㤳挸㐶ㅡ晦㡢挵搸㡡㜴愹攸摡㐷ㅢ慦晢挷㉤㍢㕦㐱て㈴㍤㘵㍣㠴㍦戹㠷㤱愵攱摦搵ㄴ㤸昰摡㐷㔰ㄳ㝦㉤㘵㡢㝣敤㘷㔰㈸愴戳㕣攵㠶挱挵捤昴愹搳㍥㡢愱ㅡ㘱挰㌹㡣捦㐵〵㍥㘴〹㠰㜷昷戶愲㜹㐸㙥㝣散㡦㄰㘸摢㔷晤㜷攲㉢晤㔵敥㌵㡤晦愴㈴㉢㑤晥㡣晥慥晥收㈲昵搳㕡㤷扦㜵挰昸㈲收攱扥㕡搶㈷㘷摣㡦㕦攳昳挸㌴㈲㡡㔰㌷扥挰㈷攲㐷㠲攴搱愸挰〷㡤挸㈱㔸戴戳㔸〷搷㈲㠷㝦㤱㌵ㄲ㤰㈸ㄸ㕦㐲搶㐸㐵〲㔴愲昵㌱ㄴち改ㄱ扥㠹㕡㑥㍦慦㔵㑥㔶㑦㥥㝣㘹㈴㌳㜶㘵收晥㍢㠶ㅦ㝦昱搹㍦㍤昶挲〷昶晤敤攵㈷㥥㜸攱㉦㡦㍤昷昲捦ㄶ昷晤敡挹㈷㝦㜹昷㌷㥦晢搳㜶敢㕢晡㡦㕦㥡晤搶〳ㄳ㘷ㅥ㌸㙢㥤戸昹攰〳敦㍤㝤㙣㘲敥㤲昱㜴㝡㘰攰挶搱㕦㕦㜱㔳昱攳㘷㥦搶㝥昱晢换㕤㑤㉥ㅥ㉦㌰扥㡣慣㤱㡡摣㠴㕣挶㔷㔰挰㌲戸攲搷㜳ㄹ㐵〲㈱攲ㅡ敥㕣挲散㑣〴戳㈹㔴攴戵㔴㤱㉢㡣晡㜰㔹戲捦改昶㍥㐳晦〱敢㜳㤲㜱</t>
  </si>
  <si>
    <t>Decisioneering:7.0.0.0</t>
  </si>
  <si>
    <t>CB_Block_7.0.0.0:2</t>
  </si>
  <si>
    <t>CB_Block_11.1.1000.0:1</t>
  </si>
  <si>
    <t>㜸〱戵㔶㑢㙦摢㐶㄰㈶愹㈷㈵搹㔱㙣愴㐰㠱ㅣ㡣愲愷摡㈵㈲㌸㐶㥣㠳ㄱ㔰㤴ㅣㄹつ㙤㐵㔴㤳攳㘲㈵㡥㉤㍡㝣〸㕣㔲㠹㝡攸慤㍦愲〵晡㌳㝡攸戹㝦愴㍦愰㠷㕥㕡昴搶捥㔰愲㈴捡㡡〰〳改㔸摥搷㝣昳攴捥敥㑡戲㈴㐹晦㈲㔱㑦㤴愷挱㘳㙢㉡㈲昰㌴㈳㜰㕤ㄸ㐶㑥攰ぢ㑤て㐳㍥㝤攵㠸㈸㠷㠰㈲㜳㤰㉦ち㑣㌸摦㐱㤹㑤㈰ㄴ〸㉡㐸㔲戹慣㉡挸㈷㈵昴㕦㑦㈷㉡㐹搵昲搸昴㡤收搵攰ㄶ戵㕡㔱㄰挲搱挱㥢㤹散㔹愳愱㌵戴攳搳攳㘳敤挹搱㠱ㄱ扢㔱ㅣ挲㤹て㜱ㄴ㜲昷攸愰ㅢて㕣㘷昸つ㑣晢挱㍢昰捦㘰昰攴㜸挰㥦㥥㌶㥥㥥㥣㕣㍦㝦㝥㕡㐳搳搲愵搱散㠶㜰㉤㍥㤱捥〲戹㝣搲㠲愱㐳戱〱㠴㡥㝦愳ㄹ㑤晣慤昸慦愱㐵摢ㄹ㘲㈸摡㤵㐵㘳㙢〴㄰㔵㔱戲捡㤲㘱攲搱㉥㙢㝦ㄸ㠲㙢㠰敢昶搰挱㍤㠶㠹㡤㍤晦㉡㜴挰㡦㌸攵㔷㘵㈳㉥㕡㍣〲㔱愵㔱〷戸㡤㜹搹㘷㐹㤲散ㄹ摣㐲ㄷ㐰搴攷㙢扤攰晤㙣㈱ぢ㙡㑦㔰攵㉡㘸戶戰攳㝤㉢愰挷晤ㅢ戸攴ㅥㄴ扣㤷戱㘳攷改㜳㈸㐸㔲敥敢㑤㘱㈶慥㉦〳㕣㠶㐳挹㙥㙣㤲㔸㑤㡣搱㝣愶㘵愲㈶㙢㌲㔲㜵扥戹ㄲㄷ㜰㑤㉤㔲㔳㈲慥㈴㔵㤰愴晣㍦戸㈱㔷㘱㤴㑦㠵㜱㠵つㄴ㌶㔴㤸慤㌰㔰搸戵挲㙥ㄴ㌶㔲㤸愳戰㕢㠵扤㐳㑣㑡攵㔲㠹攲㈲晡晥昷晣て攳挷扦㥣晦晣愷昲晡㌰扡晤慤愶㈲愸㙢㌴㍢攰㡥㌱挳㥦㙡慦㔰っ昷㑢愲㠶ㄲ㝢慣〷㌷㈱〸摡㘰㈶㐴愳挰挶捦摦挵捦ㅣ搸晤改ㄸ㙡捣〲㉥〲㥦扢㑥㌴摤㘵㌳㠴㘵敡㝡ㅣ〵て㤷搳㤹㠰㐸〱慤㉣〰愷㙢〰慢㙤㤱㠶〷愹〶㥣扡攳ㄱ㕦挸㘷搹慤扢散㈶㐴扣㍥㤷㙥昵㉦㉤戶敡搰㙣㠱ㄴ㘶㈰㈴㤳㕡㑣㈰摤㤱戳㤳㝡㤰㐴㤴摡户昴㡣㍢㤶晥㤲㝢摥挲扢捥摢〴㥣慡愲改慡昳㌸㕦戵㠴搳㐴㝡㘱挹㈴㔷ㄷ㤶捣㡣慣㘵慥㔹㑡挰㑢㑢㔹㜴攷慤㤹戵㌴㤳㑥攱慤扥㥥愴㘵㤹〴㥣㤳愷慢㠰㙣㈲㜵㤶戱㑦ㅡ㌰㐹㑢扣戹愶㄰攷㔹㠵㈶换㉡㌴搷ㄵ㥡㌳㠵㤴〳て㡦㥤愱摥扢㌰昵㐷㔴攷㄰㠲㍦〴㜱㜸攵ㅢ㈳㍡㈵散㉦㔶㔷慦摢ㅦ㈲昰㙤戰扢㘱㠰㔵ㄳ㑤晢㝣攰挲㘷ㄹ㠸㡥昷挴〴㤰昱㜹㘶昹㍣ㄸ挶挲〸晣㈸っ摣㉣㐷户㈷ㅣ㙤摡㘶㘰㠳㤴㥣㐵㘹昹㙥改㜳㌹㔹㤶攴慦㌶ㅤ㍥昳㡡搶㤶昵搳昶㘳㡦捡晤㜰ㅢ㝣愵挴愸收〸㉦㤷昱慦㈸ㄷ改㜷户㥢㉤ㄷ攵晤昹㌹㤶ㅣ戰ㅤ敥摢㉥㠴㕢㉦㑥㤹捥㑤愹昰㌷ㅥ㙥昷〸㠰慥搱搲㠴扢㌱㌰㈶㤵挹㍤愲挲㕦愸攵㍥㜱㙤㔶㠳挹挴㜰㤳㑢晡愷ㅦ㠹㝥㝤㈱愷㠳戴扦戳昰㔱挶晦㠱㑣㡤愵晤㐷㙤㉣〰ㄵ戵㠶㐱攱㌵㔲愰㍢攵晥昷ㄴ㘵㐳㑤㉥㐸㝣㙥㠸㠲㜷ㅥ㠴㈲㤷摢昴㘵㍢㕣㡣㈲慡㠴慤㑣扡昷搴ㅤ㙡㜶戱㤱挹㌹捡扡晡〰㥢㤴昲挴摦慡㠵㘲愹扣ち戸㝤捥改戵㔱㥡㍦㥢捡㐶攰㡤㜹〸㘱㥤㥣㌱戰㤴戰㐴㈷づ㍥ㅥ捡戴㘰攱昳㉣㑦㘱ㄴ摦搰づㄲ㤲㤴换㐹㠵㐲戵扣挹搶㐵慡敢换つ捦扦㡢㍢晡晦㜸㝤晡㠲晣慦㔴攸㝡㔶敢搴㍣挴㐶愶㌰㈹㥥㌵挰ㅥ〱昶戱愹愷㤱搷㐹㠶愸㑥㜲㐴㜵〲ㄱ搵〹㐸㔴晤て扣换㕢㤹</t>
  </si>
  <si>
    <t>Decisioneering:11.1.1000.0</t>
  </si>
  <si>
    <t>c7afb4de-0f2a-402d-ac16-9eef1844a62b</t>
  </si>
  <si>
    <t>㜸〱敤㕣㕢㙣ㅣ㔷ㄹ摥㤹扤㜸挷昶挶㙥㥣㕥搲慢㝢愵搴搱㌶㙥ㅡ㝡㔳㐸㝤㐹搲戴㑥攲挶㑥换㝤㌳摥㍤ㄳ㑦戲㌳攳捣捣㍡㜱㈹戴㐰㕢ち㠲慡慡㤰㔰慢愲㔶㐵㠰㜸㐱㈰㈴㐴愱㍣㈰㠱戸愸㈰ㅥ㄰ㄲて㐸愵㐲昰〰㐲㤱㜸㈹㔲愵昲㝤攷捣敥捥敥㝡挷敥愶〵ㄷ昹㌸㍥㍥㜳㙥㜳捥㝦㍦晦㝦㈶㈹㉤㤵㑡扤㠵挴扦㑣ㄹㄶ㉥㥦㕢〹㐲攱ㄴ愷扣㙡㔵㤴㐳摢㜳㠳攲㠴敦㥢㉢㌳㜶㄰愶搱㈱㔷戲搱ㅥ㘴㑢㠱晤㤰挸㤷㤶㠵ㅦ愰㔳㌶㤵捡攷つㅤ敤㥣㠴扦挳昵〷㠳愳〶㌳挸收愷㈶㡦㉣㥣挴慣㜳愱攷㡢ㅤ愳て愸戱㝢挶挷㡢攳挵㕤户敦摡㔵摣戹㘳㜴慡㔶つ㙢扥搸攳㡡㕡攸㥢搵ㅤ愳戳戵㠵慡㕤扥㑦慣捣㝢愷㠴扢㐷㉣散摣戵㘰摥㝡晢昸慤扢㜷㕢㜷摣㜱晢㈰㕥㥤㍡㍣㌵㌹敢ぢ㉢㜸㠷收捣㜲挹户㑥㡢戲捤扤〹攱摢敥㠹攲搴㈴晥挵搶㡦愷摢㡡㜳㡢㐲㠴㝣戵昰㠵㕢ㄶ㠱㠱㠱〳捥㐴㄰搴㥣㈵〲捦㜰昶㘳慢㘵㌳〸戳捥㤴愸㔶つ愷㍥㙢摥㌹〲搸㔵捤㤵㐱㘷㑥戸㠱ㅤ摡换㜶戸㤲㜳收㌱㔱愵攰ㅣぢ挴㔱搳㍤㈱づ㥢㡥挸㍡〷㙡㜶㈵愳㔲㉡晤扥晡ㄴ昱㠵挹敤ㄷ㈷〲㘷㙡搱昴攵㡡〲〲㈶愱敦㝥扦摣摡昷摡敥昳㜲改昲つ㥣昳晡敥晤搰昲㠰改㌷㝡㡥㜵敦ㄹ㙤扥㜵〵㌷㜷敦ㅦ㠳㔱敢㤸昷㜷ㅦ㈳㐱搹摡㕢ㅢ㠸攸㕢㐲ㄴ㥢㌱㜲捣晡㤸攵㤹ㄱ㠱㐶㍦戳〱㘶㠳挸戴捣扦挰㈵昱㠱㙣搲㑢愶㕥㕡搰㑢㘵扤㔴搱㑢㐲㉦㔹㝡改㠴㕥㕡搴㑢戶㕥㍡愹㤷㑥愱㑦㍤攵晢晡昴㈸㍤㥡㜹敥㤲㍢换扦㥡昸晥扦㝦㝥摦㕢愵㥢戶づ㙥㐱愷晢愳㐵㑤晢收ㄹ㤰㕡㤳㡡㙦㈹敥攴捦摡㕣〱愶戰㜶㕢户㔹攳攳㤵摤㍢捤㕤㘶㤶摢㑡㐰㝥ぢ愱っ愳敦愰昵愰敤㔶扣㌳ㄲ㜷㤷㑦㥡㠱㘸〲㙥㉣㙡㥢昴㙡㙥㈵戸㙣昵挶戹搰っ挵愵敤㙤捤㐹㍡㠶捤㠱慤㐴㈰摦㜷㘵晢戰〷捣㙡㑤㑣㥣戵㔵昳ㄵ㙤捤捥慣敦㉤㜴㙦摤敦㡢搳㡤搶㡥ㄵ㑤㐰愸㉤换戹㍢㜶愹㥡搴扡㐶愷ㄶ扤㐰戸㜲㜹㘳捥慣㕤㍥㈵晣㌹㐱㤱㈸㉡㜲慢ㄷ戲㈹攲晡戱㈳㉥㌶ち㙥慤㕣ㄳ慦戵昶㥤つ挱捣愲㠲昵㉥〹㍦㕣㤹㌷ㄷ慡攲愲㤶㉥敡㥤㘸搸摥㔲扤摦㉢搷㠲㈹捦つ㝤慦摡摡㌲㔱㔹㌶㈱㘹㉡㠷扣㡡挸㘴㔲㔲㈸㐰攰愶搳㥡㤶扡愹㍢㉦㐸㐴挴㔰㑣㐶扥愴㤵散㡡㐷戱㍢散愲㉡㐸㤳晡㜵㙢㑣挶昵㑡ㄹ㤳挰㠱戱㍤㔱㝦昰愵㌷慥㌱㙤〳㜳敦㙥㘷㕤ㅦ㠹㜶扦㙦㔹戸攱㍤愶㕢愹ち㍦㔱晢㘹㕣㤱㌱㠴㉣㝢づ〲愱㉢昴愸敡戴戳摡㑡昶㡣㕤〹ㄷ㜳㡢挲㍥戱ㄸ愲づㅡ㌲㥦㈷㘸㍢㤲㜱〱慡㡣慤捣㐶㤰昵昷愷㜲摢搸㈹搷㡦㤴捡㔲㍡㈵昰㜲㡢㈰攷戸ㄶ㕥ㅥ戴昶摢搵㔰㈸愱㍣㘴〱㈳㑡慢㐹昴ㄵ㐸愲扥㔹㔶ち㘳㥢㌵〵㉡㌵㙤㌷㕣㘹昲㙤〷㤷㈸㈲摡㤴〵ㅢ㑥ㄶ㔰ㄴ戴捡㠳〴㕥〳搱戴㐹㠳攴捥㌱㈲㈲ㅢ㈴㘸㜶捣摣㑡㘴散㥦㈰㈳搰㍦㑥㠴散扤戳扢㡣㈰戱㜷ㄲ㈹〷㜵攵挷㑤㘹戶㥡㉤慦愴搹㠵〰㥣㜱ㄱ戳㡢㤹㕤挲㙣㍢㌲敤慦㤰㜰㤴㜲㈸户㈶攳㌲㍣ㅢ㤷㌳扢〲ㄹ攴㤳㐱㤹ㄳ㠹㉡摡㔰敢戱㈳搹慦〰㍢㔹ㅡ挵㑡ㄴ搱㌲㙥搸㤹〵㐷㈲㍡戲㍡㌷㠶慥捤㐸ㅤ㝢㐳㜷摡㡣㙦㠷ㄴ㤹搰㌵扥搷㌵扡挶〱挱慥㍤敡慤慢㌰搴ㄸ㘵㜶㌵㌲愵㔸㘸散慥捦㥡愷㌹昹㥥㌰㠹㤴㈱搴愳㜲㡦㠸㤸收㝦㠲㠰敢㌸扡㙣摡捦㌴〵挷慣昷扣晤扣愳㍢㙦㐷㐸㙦搳㤹㥢㍡㠷扥愲户㘹㐱㕦〳昶搲晥搴㔵扦㕣㠷㘶攳㝡㘶㌷㈰㙢搳㉦㍣㜹扦㕤㉦㠱㌴㠹㥤ㄸ收戶搲攳㈲㉤摣昹㤵㈵㈱戵捦愰㌵㙦晡㈷㐴〸敦挵挱㘹搸挱㥥敦㡢㉡づ戴ㄵ㔹挱戳换挵慤㤵挱㝥摦㜳㔸扦㘹ㅦ〷敦〹挵㤰挹攸改㔴㥢㝤㥣㘰㘷挶晣㑤㌱捡愱晥摤搵㕤㐸挴〶戵㤲ㄷ挷㈵㥦㉤㌷㈵㐹て㤲攴㐶㠰搵㜸㍦㌲㐸〹敤て㕤㈵捡ㄸ扢敤㤰摤㕡慤㔵㝡昷ㄲ㑥㈶㙤晥挳づ㌹㌲愰㥣戵㤳昰ㅤ〴〵㘷捥㜶ㅡ挲㘲挰㤹ㄵ㝥ㄹ㝥〵扢㉡晡㤵㑢㤶愲㘶㔳㔶扣㐷㘴㐵㍡摤㜱㤶㑥昰慤㐹㍡㘹㤳ㄲ㠹摣㥥搸㤸㜰づ㙦ㄲㄵ㕤㤰ㄴ㉡〹㙥愱㠶〴㈲攵戱敦愶㠸改㐱挴ㄴ〱㌸攳㘶㘶㍢㤹㡤㈳换晥ㄶ㤲㘶扤㠰㘷㈸慣㙦㤹敥散㔲㈹㤵㈷ㅡ愴㝢昰㌷㕤㠵搵慤㝣捤㙥㘶ㅦ㐰搶㘶晥搰昹㤸㐰㠸ㄲ攵㌱㐲愴戵㘴㔸て搸攲っ㘹㘰㡢㠵愰搲㔴㉤〸㍤㠷㔱愵㠲㌵敤ㅤ昶挲㘹㍢㔸㐲ㄴ㙡挴㡡ちて㉥ちㄷ搴攵挳昶㘹慢昳㤶㤶㐴挵戰收扣ㅡ㐴摢挱改㡤㜰㈸挷晥㘰㑢捡㜳戹慥㈱昵㜶㌶挶ㄴ㥡㍣ㄱ挳搷㑡㑦散扡㍣摦㍣昴つ㌵㈱㍡㙦㠷㔵㌱㘰㈹愶㘳㌹㙦〱㡡㠸ㅡ㔴晡慣昹㐵㕦㠸改㠲㜵挰户㉢㔵摢ㄵ㐴〶㙣㑣〶敡㘶挴〹㐴〸㘶㍤挶晦㍣户㘰捤晢愶ㅢ㉣㤹っ㈶慥㙣㙤㜹㤲㈱㤱慣㌵㘹扢〱㕥㈳戱挸昲㤰㌵户攸㥤㐱戴戶收戸〷捣愵㘰㐳㘰㠵㐴慦㤲㐴㡤愶㙢扡慥攵昵㝣慦昸攱㠱㍣㤵扡〵扦ㄹ㘶ㄲ㔷愹㉣晤攵〹摡㥢㜶㝤ㄴ㥦愱㥤捥㌵つ㈲㜲搴愸㑣㈷㑡㘱㜲慡㜱㍢挷摣㠱散摥〳挷づ㌶愳㜲攷ㄵ慦捥搲挳㥦㈰攳㈵㔹㌴㠲㈰昴捦㙤㔱愴挲㍡㔲づ㌸㄰ㄸ攷㔳㍢昹昵㕢戲て愹㙦㑢戳戸ㅦ㔱愴㐱㙢挶㕣㄰㔵挴愲ㅤ㌳摣愲ㅥ㘸挶㍡㘶㌵㠸摡愶㍣挷㌱㐹㕡㈴换戹戲㐹ち㥥愸㠵摥㈱摢㌵㉣㘴㤲晥愲㉡昳㉣慡捣戳戲㙡搰㍡捡戰愰㉣㜳㉥敦㠴改摢攱愲㘳㤷昳㝣㘰攸㙥㐳搰㈴㤸㥣㤲户㥥敡㌲㘳戴捤㥡㍦〶㤳㉤㈸〲摤㐵挸㔱㠲㡥攸〷攵敡㕡づ㍦㕡㡦㡥㈵〸ㄸ改㈵㌵敥挲㙣㔹㜹㌳〲㈲㐷愶㜳昵晢ㄷ攷ㅥ㐱㡤昲换ㄱ敢〹㈴〲㡦㘰㑣挸搳扤㥤戳㡥戹㜶〸散ㄱ㘳晢敤㜰㍡〰捡㤱愱㈸㡦户㤷㑡慣挶〶㡤㌵戴挲㔵㥤㑤㉤㙡攲捡捥昶戸摥戸㙥㤵㘶愵㔱㘲㡡㘴慤㑥㔲戳慣戲挶㡤愴㙡㌴愹戸敢摡㐶㑢㜲㥢㌶攱㑥㈹㜲ㅥ㡡㐹搲㑣捡搸㈳〹〵㐱㕥㔲〷㜴ㄴ晤昵挹攴ㄱ㡢搶搰〶攸愷㥥㔲㜵㠵㈸ㅣ㜸㄰㔷㑥㉡愲㍦㝡〲㝦㙦㠹㡡㐷㙡㘱㑢㡢㜹㜶㈴㙡㤹愸㔶㡦戸戰ㄲ捡愶㕦搹㈰㉣㡤扤㈹つ㈳戹戳㔷敤慦挰ㅢ㘳挴㠸つㄹㄲ㐹昰〳㠳つ挱㕣戱㘸㉡慤戳〲㐱摤愸捥昳改㤰㌰㕤㠹㠱戹戰㌲㉤㤶愵ㄹ搶戴攴㐷攴㠰挶㘹㔱捡㔱挳㥡㔸〸愰搲㐳捡昱愸㈴ㄹ摣戰㡥搲㉤㠵ぢっ㄰扢㔱㘹戶ㅣ㈲慣摢㤸㠰㈷㠳㡤㠳ㅤ㐰㐴㠵㑤㘸㥤㔱㠲收ㄲ〸户㜵ㄳ攴㥤ㅥ㌱ち㐱㙡挹昴捦扤摡㜳捦㌲㝤㝢㙦慡㕥㠸㤸㠸愱慥〴敢〱挸㡤㐷㈵挹㐵㈳昵㘰戹㤲㙣㔲㘸つ搶敢㘸㘲ㄴ㘸昲昹㈱㙥昰㌰㡥㌵㐴戶愹攲㡥㕢㘸㐳㥢㔶㔷戶㔸〷摤㜲戵㔶ㄱ㔲ㄵ搷㘵戵搴挸ㅢ〲㕦昲晡㥦攲愶〴戸㐴㐰㌹㠸愳ㄴ户㑣㈴昵㙥㜷ㅢㅦ挴㜰㈹攴㌰㠷㤲㙤っ㍥㈶戸攵㘴㌰慣攳㡥〲敤挳慤捤换ぢ昲攲ㅣ㐴㕡㐷ㄵ㘵搹っ敥攲㌵㈲挸㤲摢㘲摤㘶扣ㄹ㡦㌶㝢慣敡ㅥ㕢㔵㙤〸ㅣ㘱㥦㑡攰攵㜲㌰㐶㝡攴づ㑥㤲㍡ㄷ㐵㜶捦㍤㈲ㅦ㔳攷昶㐶挶㠷挶昸㉥㑦㐱㈹㐰ㄵ㡣㐴㠳㕢㙦㕡摤ㅡ㈳扦戴扣㡤扢㤱㘹っ〱搳愰㐵㑦㘵攰㑣愲扣戶㠱挳㘰㘴㐲㜴㌴ㅥ㐸㘵㡣㜲〴づ㝢㈰つ摣挴㠳昴扣〷㈵ㄴ㙥㤳㤷挲敡昷ㄲ挷ㅣㅣ㠱㍣晦愲戶捡㔹㌳挴搵ㄷ㜷㝢㕢昵㐴愵㐲㜳ㄷ晥戹つ㠱㔵㕣摢㔰收攸戶戶ぢ㔹㜲㑦戴敦慥㙤㙢㠸㉥ち摥㌲㕤扣挷っ换㡢㜳攱㡡扡戴搵㉢㐹㘴㝦〲㝦挴慡㙦愷捤㥣㜱㜹〹㜵㤹戰敦㍦攵㝡㘷㕣戹慥㙣挰ㅢ㝦戴㘲㡤扥㍥㉥戲㍦昵ㄶ㝥㘴搲㔳搹㔷㌰攳㝡㤶捤〹㥡づㄲ捥㈳㤳㤲〶愳㈸㈷搰〹㙣昷挶㡤〱搲挹戶㌶㍡㤱㠲㘰㤳㔰摣ㄳ敦ㄸ愱㘸㍦〶㕡㐹㉣敡㐸づ㤸㝦ㄳ慣慦晤〸㌵㐴戸㍣㘱㈹搴㕤㥤㡣㍡㈹挸愳敢ㅤ扣っ昲晦㠳愵㍡㌷慦捡㑥晦〵㘶搶㕥㙥㐷搱㤵㐴搱て㈳ㄴ〱搶㤱愴捦㌲㄰晢戶㐲摥㕣晤收㔱昳㕤扦搶晢㍦㍣㙡摥㑢敡㐰㤲搶ㄸ㠲㙡搷愱㉣㡤㠱摣㝤㈸つ㐵户㈰㄰昰㠵㥤㍢ち㘷戸㤶敥㌰㄰慥㐷㐷㘹㈰捣㜰ㅥ挶昰㤵㠱㄰㜹㐰づ愳㘲㙤〳㠱㤱扤〴㌳㌰ㄶ㘸㡤㌹㌵㜸晥扡挸愱㜷散ㅥ㕣戹ㄵ〱愲昹㔰㔹挱ㄴ晣㔱ㄷ㜷㔶捦㥡扥改㙣㤷昵〷㝣〱㔵收捦攳づ户ㅣ挲ㄱ㤷慥摡㈲〷慤攲愹愸晢搸㌷扤㈹敢扢戹づ㑣愹愴㥣昷㕡㕥换㥤㠷㥦㐴攳愹㈱昵挹㙤摦㌹昰攷㠷ㅥ摢换扢㙡ㄱ晤㘶ㄹㅣ敥㈵㘰㑦㙢〲㈱摤搸㌵㤱ぢ昹㐹捥㈱㝣㥣㘴㉦㔵挵愴改㑢ㅢ㈸㌰㥣㝡㔱ㄱ㕥㡣㌰ㄵ昱㙤〴〳ㄳ户ㅥ㤴㠱㔹㙣㜳㜶捡㑦㥡愴㠳戰ㄸ㕢戸㘴敥㝡搰㔰敢慡挶㝡戴㌵戳摦㠳㈲㝡㥢ぢ㘹戵ㄱ㜹收㘴搲戴敦戶㙢扡摤搴㜴搲晥搰挶搰愳㝥㡣搱昵づ㈹挵敢〰㔲㑡摤㡦㐲戶㠸㉣㈱慥搶ㅥ攰愵㌷㘰㔳〸㠸挶㤵扦ㅥ㍦㕦〱ㄴ愹㐱昸攵捡㜹㌰㍦㉤搱扡扡㘲愰㔶㥥㐸㡥愲㈰㡦㉥慣㘰攴㔶搶捥愱㔰㑦㔹㘸慦㈴㉦㙡慢㌳㡡㉦㈹㌸㉡散愶ㄸ㍢敢搰搳搶敦散㜳㙢戸昷〱㍤㤳㤳ち挳摤捡㙡ㅣ㐷㘵㠴㑥㜵敤㔷㔵捣㠷㔴戱㌱㘸㈰㙡㠲捥㜲户攳㑣㡡搰ㅦ扦ㄱ㘲晢㔸㜳敡ぢ摢㕢愸攳摣㍥㙣㤰扦戰挹慥㑣㘰㙣扣㤵ㅣ〳〹扢慥㕥㜹㜵㌱㝣ㅥ㐳愴㡤慦ㄹ捤㈲摦愵㘹㡣㔰搷㌹㉢摤挹㔹㡣㕤㑢捥㍡挶摥っ㘲户攸晦〷㔱戱愶晥搷ㄸ㜹㤳㈸晢㔰㔴攰㐳㤶搱㤳㌵〳㌶㠴〸晣摡〸摤挸㘳戱㈱㡢っ㜸慢搲ㅣ㍥㕢㔵捤㔲㠲挳敢㤵㘹扦ㄸ搱ㄸ㑢㝢㜷愰慢〰㘴㘴㈸晢㉤㠸愰慥攳戹攸捥戳㙤敥㈳愸摥㜶挸㉥晢㕥攰㔹攱攸ㅣ㐲扥愳晣敡捣㠲捤㌳愱㝤愳㕤愸㕤ぢ㐸っ㝥っ㘳づㅦ㠱挰㍥㉣挲㜷㉡ㄲ挹戸挲晡攲ㄸ晣〲㘹㌸ㄶ㕣愲㜶〸㉥戰敥慦㤹㔵㝣戴㝡〴㥥捥㤰㔵ㅢ㐲搹㈹㝦㜳晢晤っ㠲づ㌷戴敥㠳㌷㐸㔴㡢〸㡤挹㉤㝣昴攳㠴㙢㍢っ㕡晢㐶㝢ぢ搸戳㌷㡦㕢㝦昶敢挰改晡摥搲㑡㌲㝣㈷扦㐵敥㌷㍥挱ㅣ戱ㅦ㝡㑣搷敦㥥攵㙣㈳愰昳攸㔳㙥扡挱挶慡㜰㥥慤㈳昶㕤挲㔰敤㙥㘶昸㌵㡥㐷〵㍥㘸昴昱㤱ㄵ戵ㄷ戰㉤㌲〰捡愹摣〲戲敥㔴晤㌵㜴㙢昱ㅢ㤰慡戵㝢㌱㠶㔴搸慦㍤㡦㜶㐲㐹敤㔶戰づ挷て㜹㠴㐰搹〰㙢㌴㤲挶㈳㠴㝣晦戳ㄸ搰㜸晦㈲㙡扢扦晦慢慢扥㥦捡㕦敥敦㘴㘳㜶㄰㝡㕤㜹ㄸ愷㔰㙢㔴㤹㌹捣㕣㘴挳㜵ㅤ㌲㐴戱㐸㔹㤳㔳㠱㠵㤷昷愲㡣昴扢攸敦㙢㝢㝦昳㉡搳㍦昶㙡㔲㄰愲挹昰㘴て㤵㘹ㄴ㠴㜲ㄷ㑦挷㜷㜱ㅡ戵摤㜷昱搴㙡扢ㄸ愶㡣攴㜵ㄴ㈳㐰㔶ㄸ搲㐸㉢㜲㔷㘱㔴㤰㔸㤳〸㘵慦ㅡ戲㝡ㅡ㍥㡥㤲ㅣ扢㡣〲挶ㄲ昲㜲散㤹愸挰㠷㘱㠲㥦扤ち挳挳㠴㤴㉡㘶〹㥥㠴㡦㝤愴搵挴换㤱昴敦攴㤴㠳㌶愷㜴㘵摥㠹㍣戳ㅢ㐲㘲㐴㍥昵慥㠲㍥搷㘳搴㕦㝢戲ㅤ㕤搷〳戶つ㜲㔱㜶㉡挹㡢㠰搴㍥摦摥昹戴㐴〴㥡㐸㔳慡㌳挹㔰㜶㝥愲扤昳㑢㡤捥慦搵㍢㤳㕣㘵攷挷摢㍢㝦ㄴ㥤敢搴愹㘶ㅥ㈶㘹㐶㘸㈵ㄵ㈵ㄸ挳昲㜸㄰晢㜸㥢愷敥慣㐵〵㍢㘰愹㙡㡡㔶ㄹ㔹慥㑡ㄵ㍢㠸扢㈲㍥㍥㥦㥥挱搵㈷摣㄰㠱ㄴ㔶晦㡢挲㐱㕣㠹㥡㌶㐳ㄳ㕦㐷㉦㈳ㄶ敤ㅢ昲㠹㠳㜳搶ㄱㅦㄵ㝤搶挱〰㠷慥捡㠶愲ㄶ搸ぢㄹㅤ㕢㡥㠸㐶敦㑡㌵〹㠱捥㈶㍣敡㌱㌴㥤㔷㑣㝡搳㉥㌲敥㤲搱㍥搷㐰昲愳㑤㉦扣昱㘹慣ㄳ㜲㔴慥ㄷ㕡攴ㄱㄴ㔴㥣㘶ㅢ慢㠶㈹㈰㈸挳㡣捦㈰㉢愴㠷敢愲㐱愳㌴㈰ㅤ攴㍥㡢㙣愸晥㝦㔸㡣㉥㑢㠷㡡慥㝤慡晥戲扦摦戲晤㉤昴㐰搲㔳挶㘳昸㤳㝢ㅣ㔹ㅡ摥㕤㑤〱〹㉦㝤〲㌵昱㤷㔲戲挸㤷㍥㠹㐲㈱㥤攵ㅡ搷つ㉣㙥愵㐷㡤昶〵っ搵〸〱捥㘱㝣㌱㉡昰㈱换敤摦搵摤㠶收ㄱ戹晥愹㍦〲愰㉤摦昴敦挳㌷晡㉢摣㙢ㅡ晦㐵㐹㔶ㅡ晣ㄹ晤捥摥收㈲敤搳㔶㤷扦㌵挰昸㍣收攱扥㥡戶㈷㘷摣㡢㕦攳㑢挸㌴㈲㡡㔰㌷扥捣㈷攲㐷㠲攴愹愸挰〷㡤挸㈱㔸戴搳㔸〷搷㈲㠷㍦捤ㅡ〹㐸ㄴ㕡㌵〹〱㉡搱晡っち㠵昴㄰摦㐴ㅤ愷㥦搵捡挷㉢挷㡦扦㌱㤴ㄹ扤㌴昳愱扢〷㥦㝤敤搷慦㍦昳晢㡦敤昹摢㥢捦㍦晦晢扦㍣昳敡㥢慦㉣散昹挵㑢㉦晤散摥ㄷ㕥㝤㝤慢昵愲晥㠳㌷㘶㕥㝣㜸晣搴挳愷慤㘳㌷ㅤ㜸昸挳㈷敦ㅦ㥦扤㘰㉣㥤敥敢㝢摦挸㉦㉦戹㜱昸搱搳㍦搴㝥晡挷㡢㕤㑤㉥ㅥ㉦㘸㕤〶㌷㈱㤷昱ㄵㄴ戰っ慥昸㕤㕤〶户㉢〱㜵㉡〲搴㈴㉡昲㌰㙥戸〰搹㜰戲戵㘱攰㍦戹〸㡥敥</t>
  </si>
  <si>
    <t>Learn about model</t>
  </si>
  <si>
    <r>
      <t xml:space="preserve">Keywords: </t>
    </r>
    <r>
      <rPr>
        <sz val="11"/>
        <rFont val="Calibri"/>
        <family val="2"/>
        <scheme val="minor"/>
      </rPr>
      <t>assumption, forecast, sensitivity chart, Tornado Chart tool, engineering, reliability, developer kit</t>
    </r>
  </si>
  <si>
    <r>
      <t>Copyright Information</t>
    </r>
    <r>
      <rPr>
        <sz val="11"/>
        <rFont val="Calibri"/>
        <family val="2"/>
        <scheme val="minor"/>
      </rPr>
      <t xml:space="preserve">
Copyright © 2004, 2015, Oracle and/or its affiliates. All rights reserved.
Oracle is a registered trademark of Oracle Corporation and/or its affiliates. Other names
may be trademarks of their respective owners.</t>
    </r>
  </si>
  <si>
    <t>㜸〱敤㕤〹㝣㔴搵戹㥦㌳挹㑣㜲㠷㠴㡣㠰戸㘳㜰㐷㌰㈶㠴㈸㈸㌸〹〹㕢搹ㄳㄶㄵ搳㘴㤲摣㈱〳戳愴㌳ㄳ〴愵㡡昶㔹扢慡㔵摢㉡捦愵搶㕡㤷昷晡戰戶戵㡡戴㉥㔸慤ㄵ戵㔵慢㔵扢搸㔶㐵㕣〱敤㤳攲昶晥晦敦摥㍢㜳㘷收㘶ㄲ㈰晥ㅥ敦昷㝡㘱扥㌹换㜷捥昹扥敦㝣攷㥣敦㝣攷摣㠹㑢戹㕣慥㑦昱昰㥢㑦㌱〳㠷户慣㐹愶昴㘸㔵㘳㍣ㄲ搱㍢㔳攱㜸㉣㔹搵㤰㐸〴搷捣〹㈷㔳㐵㐰昰戶㠵㤱㥦昴戴㈵挳攷改愵㙤慢昴㐴ㄲ㐸ㅥ㤷慢戴㔴㜳㈳㝦㠸昹昱㕢ㄱ㡤愵戴㘲〲㘰戹㌴㉦㐱〹㐱㈹㠱㐶攰㈳㘰㐹慤㡣愰ㅣ愰㙣㈸挰愲挶愹昳㍢㔶㠰㡥㤶㔴㍣愱㡦慢㕣㘲戴㌶愵愶愶慡愶慡㜶㘲㙤㙤㔵昵戸捡挶摥㐸慡㌷愱㑦㠹改扤愹㐴㌰㌲慥㜲㐱㙦㐷㈴摣㌹㕢㕦戳㈸扥㔲㡦㑤搱㍢慡㙢㍢㠲ㄳ㈶搶㑣愸慢ぢ㑤㥡㌴戱慣〲㌵捦㙢㥣扡㈰愱㠷㤲㠳㔵愷㥦㜵捥㙦㥣㕡㌵㑦㑦つ㔶㥤〷愰㑥㔴搹ㄴ㡦〶挳戱㐱慡搴挳摥愸㙢搲㍢挳散㌶㕤㑦㠴㘳换慢㐰㜶㤶愰ㄱ㍢戵慡㈱㤹散㡤昶㔰〳ㅡ昵㐸愴㔹て㐹㜷㐵㥢㤲愹〵挱㐴㌴㔹ㄶ愵晣昴㠴ㅥ敢搴㤳㐳愳搳㔶㜷敡ㄱㄳ㌱㔹ㅡ㕤ㄲ㑣捣ぢ㐶昵㘲〶㉡愲㐶ㅦ捥敡搲㘳愹㜰㙡㑤㜹㜴㜱㔲㙦づ挶㤶敢㐴昱㐴㘷昴㠶扢㔴㜱㌱晥扢㡡㡥㜷愲㑣㍡ち昴㐴ㅢ扢㠳㠹㤴挴搸㠵㌵㑥戸㌶㜵ㄱ㉥戲攸愲㑡㔵收㤴㘲㥦戵㠴愳戳昵㐴㑣㡦戰ㄱ昶攴搸ㅣ㈴ㄱ㤰搱て㘹㐹㔹散戰㤷搴㄰㜳搸㤰ㄷ戶攲ㅤ〶㜰搸攲㔸㌸ㄴ㑦㐴挷捤つ挷愶㑣㌸愵扡扡㝡摣摣攰敡㈹㜵ㄳ㄰搲㠶〳㐱ㅢ㐱搴〳〱㠶捦つ愶搰ㄷ挱㐸㘵㑤㘵㑢ち㐲㕤㥥敡搶㐶ㄲ攵㈰〰㔵晣㍡挶愹扤つ㡥ㄵ㜷㕢搰摤搶攱㙥敢㜴户㜵戹摢㜴㜷㕢挸摤戶摣摤搶敤㙥ぢ扢摢㔶戸摢㔶〲挷㝡㑡㑢㑡摣收昳攸慣挹㜷扥昸挱㙦敡慦㜹晥戸て㜷戶㍥ㄶ昴㜰㘸搶㍡㌱㥣㉢换改ㄸ㠳㥤挱㘴捡散㘶㡥攱挱搵㠲晥㤵㘰㝡愲昳戳㔷〲㌴㌲㈸㑡愰ㅤ〲〹㘹㠷〲㜸て〳ㄸ㤹敥攳昱㤵捤㝡㈴ㅣ散〸㐷㌰ㅣ戴挳㠹㜵〴㠰㔲㝦㐳㌷戳慢㝦攸㍡㘶敢扡搴ㄳ戳㉦㍤敢戶ㄵ搵挷㝦昵ㄲ挵㤹㔳㘶摦㈳ㄱㄸ戳㔴て㜷昴㐶㈲攳收挴㍢㠳ㅣ愰㔳㈶㑣愲㜲戵㜴〶㈳晡㤴㕡〹㜶〷㝢昴㈹愷㘸㤵㐰搷㐶〳㜸㡦〲挸㘸㔹㙤㐶换㡥㈶捡㌱〰㑡扤㘴㌶㝦㘲㥤扦晣㠶㘳摢㘷㝦㘷搱慦づ㕥㝦搲㠷攵㡡㜳戶㌴㝦ㅣ〲㠷捦㠳㑥㘳㥥㥤慢〷㘳㔳慡慢㈶㡥㙢㐹㜵㌵改慢㄰慣慥愹搳㡥㘷㜵㈷〰㜸挷〰っ㙢㡣㠷㈳㤵㑤㘱っ㜴攸昷戸捡㜰慣㑡㍢㤱ㄸ㘳〱㤴㝡搶㙣昰㥢〷㉤ㄸ扤昹收敥ㄹㅢ㘲㜷㈵攷晥㜰换㝦㉢敡㤶㉣ㄹ㈷ㄱ戹ち挰㝢㌲㐰㐶㠴戵㔹㈲慣㈶㔶つ㠰㔲㑦㥡㔵づ㔹㌱㝢㔲捤㤶收挶㉢扦敥㝦攰户晥㍢㥥㔴㥣扥㠴㠷㕡〴㡥戲昳㔰㔳㔳〷㤹㔱㠰〶㈳攳㈵愶㑤㘰愵㜵〰摥㔳〰㐶戵㜴敢㐱捥㤶㤵㜳攳㕤扤㤱摥㘴㘵㍣㔴㌹㉤㠲攱㄰敥㘴㉦㥥㑡散㠹〰㑡㍤㙡㤲搰ㄲ晥摤㤱敦ㅦ昶㙡晤㥤捦㥥㜸摤攱敦㝥晡㐷挵戵㑥戸㍡㡤挸愷〳㜸㈷〳㘴戸慡挹攲㙡ち戱捥〰㔰敡㐱戳捡挶搱挷㥥㜰㔱昸㑢搳慦扡昹敡戵慤㈳㥢慥㔰㕣㌹㠵慢㝡〴慡ㄶ㘱ち㠹㉤敦㡤〴ㄳ挶㥣㌳ㄱ㡣㡤㥢ㄳ㕥〹㙤搳㤳愹㈹㜵㌵攴㔲收㈰戲慣㌵愰㡣㌶ㄵ挰摢〸㤰搱㡥昱ㄹ敤㘸㈲捡㌴〰愵㌶㥡㌴㙣㥥㜶攴搳敤ㄷ㉦㥢晥敤㥦㕥㝤改㕦㕣搷づ㔵㥣㡣㠴㠶ㄹ〸㡣戲㑢戶扡慡愶捥㤲㉡搴㠳晡㌱㤳ㄵ捥〲昰㝥づ㘰搸搲㜰㐲捦搱㡦搹挴㤸〳愰搴㑦捣㈶㝦昲慤攷㝡捥晥户㠷愷摤㝥挳㈵摦扣改㠹愳㘷㉢㥡〹搲攴㍣〴挶㘴㌷㌹㘹挲㈴晢㘳㙢扦㐶㥢捦扡ㄷ〰㜸ㄷ〲㡣㙣改㤱ㅥ㙤搲㐳愶戱㘳㘸㘸㌳戱㕡〰㤴晡㑦㤳㠲㙤慦摣㝦摢攵㜷〷敢㌷㙣㍣攸戴て㍤㝦扡㕡搱㐶ㄱちㄶ㈳㌰搶愴㘰㑥扣戱㌷㌵愵㘶搲戸㤹㘱〶挶搷ㄸ㠳㘴㝣㕡戵慡慢敡戴㈵慣㝤㈹㠰昷㑣㠰㡡㜹扤搱づ㍤㐱㙤攲㔸㐹㙡㘷㌱晢㙣〰愵㙥㌱ㅢ㝦攴㠲てㅦ㝤挲㜳摦散㍢㙥慥㍣㘲攲㔱㡤㘳换捥㐱昶㐲㜳挹㘹㑡〴捦㠵㕡㘶散㠳昱㔵㄰昵㐰っ㈳搸㐵愱扡搰愹愱㥡㥡慥扡敡㘰㙤搰挳㌵㘹愰㉢㌰㘷挸戲搰搲㜰慣㉢㝥慥㉣挹㠷㑦つ㈶昵捣攴㍣搶捣㥢ㅡ敦㡤㜵㈵て㜳捥㙣㐹㘱搹㍢㌴㌷㉦㔳㐹㕥戱ㄶ㉣㤲㝡㔲摡ㅢ㤵㕢㙣㐹㌰搲慢㌷慣づㅢ搹㐷攴㘴挳㕣㠹㜷昴㥤㍢㍤愱㝦㈱㥤㥢㐷㔱〳㉣攱㔵㔲㜷ㅥ㤷㐶㤶㐱㔷㘵㘳㜷㍣愹挷㠴扣戱搱〵攱捥㤵㝡愲㐵愷㙡改㕤挲敡㠱捣㌲㙤愶戱昳㘳㘰ㄴ㔶㔰搷㔱昶搴搰戴搵㈹㍤搶愵㜷㠱摥ㅥ㍤㤱㕡戳㈸搸ㄱ搱㐷㘶愱ㄸ㙤㈲攳㤰慣攴改昱捥摥㘴㘳㍣㤶㑡挴㈳搹㌹つ㕤慢㠲戰搳扡㌰㜵改㌰戳㡡昹戸㤴慢愸㐸㈹搷㠹㑥㑢㍦敢㑤㔶㐹㐷搸扡㤸㔶搷挱搹㙡㔷搵っ敥挰㐵㐴愷㑥扡㡦改愷㌲愹㤷搵㡣改ㅢ搱挶ㄳ㌷ㅤ挴㍥愱㙦㙣愱㌱摤㜳㥦㉤戲摢㍤摣攴㝥摡㉡搸戲㌳㠳戱慥㠸㥥㈸戸㘵㔲愴㐸㙢〵昰㝣ㅦ愳戹㑦改㜱㔹㔰慢搵ㅡ捦戹攱慥㔴户户㕢て㉦敦㑥㈱つ摢慡搲㔲㡡㌶敦搱摡㤰愴戵ㄳ〴〱㝣㍥㤷户〳摦㉥慦て㡦换㐳搳㜲捦㉤㘴㙥摡㌴戱挸戱㝤㑡㝡愲㌰昹㤲㐵㐵㑥ㅣ捥っ㈶扢㔳㔴捤㠲㤹戴㠵戵㑥㠲㉥〰て㉤摡㝥つ㜰㑡慣㤸晢㡣昲㈸㈶收㈰㜶㜷㌲戲㔵搰ㄳ㌵㌶っ㑤㝡戲㔳攳捥㘲ㄶ挶挹㙡㉦㐲ㄸ昸㘵㔱㙡扥扥㍡搵ㄴ㑣〵㑢愲搸愳愰㠷㌴㈰㡤㤵㔲㐶㠸㈵换㈵捤㉡敤㌳㘳愸挱㉦㐱㕢㉤㐳㈴挱愸〹㠳〶㘳挵㔵㘴挲挲㑣㠰㜶㑥㡦摥㕣㈵捦摥㙢㘰ぢ搴㌵㐳㡦㉤㕡搳愳㈷㠹㕥敡㉤㈸捡摣愱挵捡收㜷㜶㉣㑥㘱搱愸〲愵㌳ㄲ昱摥㥥挱慣㠷㜵㘹㍡㠰昵㜸搶㐳㠳〷捥ㄳ挴攵㉡㔹挵扥㘹㙢㜳㤵戲㌶愶㘸摣敥㘸搴㔴摡㜸搶愳㠵ㄱ昲ㄵ捡昳㜰㈳戴㈷晢㌲㥡捣㘵㔱㐸㘸㔱㐲㤷㥤㘶愹㐴㈰敤昲攸搲㜸㘲㘵㐷㍣扥㤲晡㌴㔴㘲挹㙥㕤㑦㜱昷㌶挴摣慤捡慥㔴愹愲愲慣㙤㤷㙤㥢挷㝤㥦㌷ち㔰摥㄰㠹㔴㕡㌵㈶扤㌱㈴ㄵ㘱ㅦ改㡤㈳㜰戴捤搰慦㍣㌷㥣敡㠶攲慣慡㥣ㅤ㑥㔵㥥㔴ㄹ搳捦慤㕡ㅤ㐹㐶搵ㄵ收㌲㝦挶攸搷敡㕥㍥晤昹ㄹ㤷㥤㜰摡㡦て㍣㌶㌴㑥㕤㙥㘶攴㙤搹戸戱㈸戰㔰㘷敤㤲㌸ㄱ㘴㉤搴㘵愱改攱〸慣㜱㘳㉥づ攱换㜰〶㐸扣㥣敢㑦㈲搸㘹㙣戳㐷㠴ㅡ戱〴挱晢㤰㕡㤳㔹㤴昳㤶㐰㘳㠵昸搷㐲扦摦㉤昴戲捣㘷㉤昶〵ㄶ㔲㈸㑤捥㔲㕦ㄸ搹慥㐴㔰㌱挷愱㈹㉡㔵㠵㥡戳㤵㡣㌳㝣敥㍣㈲㉥㤶㌴扥㕤〹㠹㕤摤户〱㐰㘵捦㔷㔲ㄶ敡㜳戱晤㤷愹攲攴摤㌵㑣㤵〴〴愷㈵〹㘸㝥㘸扤〴慢〰搴㔷㌱ㄹ搱㠴戹ㄳ㤱搷昱搹〴㕢攱㉦㌲愳慦㈶捥ㅡ㠲昳〰㘰㝣挸昴敥昵㘹㙢㡤愸愲ぢ㠴搳㤰昶㐵㠲ぢ〰捡㉥〴㤸㌷㔳㡦挰挴ㅤ㉣ㅦ慣攷㜰搴㔹㜸㘱㠶慥搰㌱㌷㌲摡戲㈶搶搹㥤㠸挷攰挳愶扤搰搰〹㈷㘶㔲〵扤㔱搹挱㜹愳戲㝦㉢㡢㌶敢㍤㝡㌰搵㠸㉤っ㡣㤱㌹搸敢㡢愹㌱慢㙢昵晦愶㈹㈲㉥〴散づ㌳搶㠸捡ㅤ愹㠶㔱㘰㡡户慡㈹づ㠷戸㉥㕥㝣㡡摤敢㠵㐹戹ㅦ摡ㅡ㉥㙤ㅤ愸扢㜱挷ㅤ愷ㅦ㝢晤㠶㑦捤敦ぢ愱㜱昲㘸㜴愱㠹㘲攱㍢晤㘸㕦㐲搰㔷㈸㑦搱戳㐶摢㐱攳㕡敤晤ち㐰ㄱ搴㐰攳敡慣㔶愱㙡晡摢昲㔶摥㕥㌳㈳捦ㄱ㔷㠹㘲摣㈶㙢摦㘰昹㈴搰㌸㈶㄰捥㝥戴换㄰搷㉥㈷戸〲㈰㌳㈶㘸㥢慢搱㐸㤲昱㜰㈵ㄱ慥〲㔰㐷〳搰㍡搶慥〶戰ㅥ戵ㄲ㜵搳攸㤲㘱㜶ㄴ㤲㐵〰戴㙣慣㐷扢〶㈱㥦㔶㈰㑦ㅤ〳㡣戴〰㌴㥡㈷〶昳㐱㔴散挸㝣扢㤹㤱攷〶愴㙦㑦㤸扦〹〱昵㜹愰㌹㌳㝦㌳摢昸〱挱㉤〰㌹捣㥦㠰㈴㘱晥㔶㈲摣〶愰攸ㄱㄴ收㙦㐷挰㝡搴ㄲ搴㥦㘶㝥っ㤲㡤㘹挵捡㘷挲㡦〰㝣㕡㠱㍣㐵㍦愳ㄳ昳㜳晡㘲㝥戶㤹㤱攷㤲㍣〹㌵㠹㐳昷㙥戶晣㜳㠲㝢〸敥㈵搸〸愰愶㤹〲㜹㡣㈹攸戲捣っ戹㠹㈹扦㈰昸㈵㐰㐶㈰摡〳㐶㔴㔵攱㕢㠴昲㈰〲摡㐳〰慡ㅡ㠰㌳㥡㑢摢っ搰攷戰㌸㤹ㄸㅤ〰搴ㄱ敢搱ㅥ㐱挸愷ㄵ挸㔳昴㤶㘶〴挳㘱㘱㘸㐵㙤㕦㠲ㄹ㙦㘶攴㌹㔶㈷愰慣㘸挵㔳〸愸㙡㔳〸〸㘷㍦摡敦㄰搷㥥㈶㜸〶㈰㈳〴ㄹㄲ昴戳㡡〰㝥㑦㠴攷〰搴愹〰愲ㄵ捦㈳㘰㍤敡〴搴㥦搶㡡㔳㤰㉣捣ㄷ㔹昹㑣㜸〹挰愷ㄵ挸㔳ㄳ㠱㤱㘱㍥㌳㈴㐶昵挵晣ㄱ㘶㐶㥥㑢昷㌴搴㈴㕡昱ち㕢㝥㤵攰㌵㠲慤〴慦〳愸㠳㑣㠱慣㐷攴㜱㝣㌲㕡昱〶㜱摥㈴㜸ぢ㈰㈳㄰敤ㅤ㈳慡攸㈱ㄶ愱扣㑢愴敤〰㙡ち㠰愱ㄵ㍢㄰敡㔳㉢㈶戳〰戵挲㡤㡦昵㘸敦㈳攴搳ち攴㈹㝡㥢㌳㠲挹㘸㠵愷㉦挱ㄴ㥢ㄹ㜹㡥改〶搴㈴㕡昱㌱〲捡㙤ち〱攱散㐷攳摣愹㔱㜹㌵慥㘸ㄹ㈱㠸㔶㑣㐵愶〸愰㠸〸㍣愰㔶㑤㐸ㄲ慤昰㈰㘶㍤㙡昷㈷㌶慤㘸㐴㜲晥㤰攰㠸昴㘹〵昲搴㌴㤴换㌰㥦搱㡡敤愸摣㜱愲㝣搷捣挸昳㠸捦㐴㑤挲晣㌰㤲晣㌶搰㥣㈷捡ㄱ挸搶づ㈴ㄸ㐹敡搲㤶㤳㌰㍦ぢ㤵〸昳〷ㄳ攱㄰〰㐵搷戸㌰㝦㈸㘲搶愳㕥戵㌳㑦慦扡㌰㕦㙣攵㌳㘱ㄴ慢搷ち攴㈹㍡摣㥤㤸㝦愹㉦收㕦㌴㌳昲㝣昳昳㔱㤳㌰㝦㍣㐹晥㐳㥦捣㡦㐱戶㜶㈲挱㔸㔲㤷捤晣〲㔴㈲捣㥦㐴㠴㉡〰搵㡣㈴㘱晥㘴挴慣㐷晤搶捥晣㐲㈴攷慢㝤㉤慢搷ち攴愹ㄶ㤴㜳㘲晥㤱扥㤸晦㤵㤹㤱㜷㉣戰〴㌵〹昳㤳㐹昲收㍥㤹㍦〳搹㕡㠰愰㥥搴㘵㌳扦ㄴ㤵〸昳㔳㠹搰〸愰捥㐲㤲㌰摦㠴㤸昵愸晢散捣㥦㠹㘴㘱摥捡收户㌶㤳搵㙢〵昲搴搹㐰㜳㘲晥挷㝤㌱㝦愷㤹㤱㝢㉣攱㘹㐵㑤㝢攰㑥ㅥ㐲晡㐲㑢挲晡戹昴㠱つつ攱㕡㐰㘳㙦㌲ㄵㄷ㠷㕤㜹愸㈹㍥㉦㥥㙡ち㈷㝢㈲挱㌵挳㐳㘶㘰㘹户ㅥ㠳㉢㍤〱㡦㝡㑥㕡扣愷㐷敦搲㐲㉤昱摥㐴愷㍥慢㘹㝦㜰戵㠳㍦㜴㥤㜸搹摤ち捦摥㜹㡦㘱敡㉢㘸〸攷〴㑦ㅢ㉡捣㜵〴摡㜶捥ㄹ㈷㡤ㅦ㠸ㄵㄹ㠹㉥ち愷㈲晡㤰㤰攴㑢戸㌴〴㈹攲㝣愲慢㈴戴愸ㅢづ戲愶昲搰㡣㐴戸㉢ㄲ㡥改散っ㌸㝥㜸搷㘲㡥扥ㅣ㘷ㄱぢ攲挹㌰㡦㤹换㐳㡢ㄲ挱㔸戲㠷慥搵捥㌵挳戲㘲戲㌱昲㠴愶㠶㘳㐹㌴㈳扤挸㜰㐵愸愵㍢㝥㉥㉥ㄳ昵㐶㘳㌳㠲㍤挹晤愲㔷㌲㈳㐸扡㐶戹㤵摢慤㑡摤愵㝢摢㍦㍥㜶戳㙢㍣㍥挵〴搲㔷㉥㑦㍢㐲〵㥣ㅣ㜴㜵㤸㈷㐱㍣攵㈰㑤㔹㤷㈹ㅣ㥤敥改㥢㔸ㄵ㐰搷ㄶ愲㔰㔹㌳挰攷㘶㉣㥥㤵㌹晦摢愷换㔱㥥㈰㙡捥摤㑥收㙡㔸晡戸㠵扥摣愱㠶慡㌰㡤㥡㠳ㄱ㠸ㅥ㘷㉣㔷晤㝣㈱挱愱㈶づ捤〴愷挳㙢㕦ㄶ㥡ㄳ散搰㈳㌸㙣㠸〶㔳㐳㡤〸ㅤ㍥戸㘵㤰㌴昳ㅡ攳搱㘸㤰慡㐵戵㤴㡢づ愵愱㠶摥㔴ㅣ㔷㙢戴㄰㠰攸㥦㤹ㄴ㕣㡤愴攰㙡㐹㉡ぢ㌵昳〰㔲挲慣㉢扥ㅣ㠷昸愹敥㘸戸戳㤴ㄱㅥㄲ敥ㄷ㍡㠹㜹挲扥㘰㕢㜳㐶慥㍢挳搸搸愳扢慢攰慢愳攸搸晤搰㕣户昲攲㥦摡换昳㈹捣㌰戲㜰㘸㡢㔰㥢㠷㈶㈳愷ㅣ㜹戶㕢搷〳户㕦㠸ㄴ㤹㠴㡡㍢㤱㔳昰愸㠲㥥㝤摦㥣㜸戰㙢㍡ㅣ挹昱㐴㠹㜹㙤慦ㄴ㥤挸挹㈳攱攷攱㔱㈳捥㈲㜱挶戹㉡摣愵㈷㑡㤹搰〲㘷㑣㌱㡦㥤扣㐶㙦㘱愳㕥攴昲㜸㠶㤴㍡戵㌵换慡敢ㄸ搳㈵㙦扦戰㌸㉢慦晥户ㄶ㑥っ㤰ㅦ㥦㑦ㄶ㥤挵攰㐵㕢〲愰扡㤰㐸㝥㜲㄰㤶ㄲ攱㑣〰㡦㡥捣摣㕥挸㍥挷挱㘹㡦〶愴㘲戹昰挶ㄳ愶㔲㥣挶挸搱㤴㐷ㄸㄹ㘲㍢㔲昲ㅡ愷㐹愵搶㉤㍡㙦ぢ昴㔹敦昲ㄹ㌳㈶㕤㔱ㄴ扣摢㕤㡣㑥昵收㝡昸昳㥡㐵㘵搱ㄶ㕤捥㥡ㄴ㈷㝣敦㔹㈸㝣ㄸ㠷〵敡㙦㑢㕦㌷戲㕤㈹攳㤶〰愶㜸摡㘱攱昳㘹换㔰挶攵㔳㘱㐰㑢㄰㌴㘰㑣㐹㥤㠳㕣慤ㄵ挰㤳㐰㘲㠱㠹〱㍥ㄵ㥢晢㜸㈸㤰扤㈱摣㝦㑢㘱捣㤲愰改攱ㄴ㘸㉡ぢ〱㈰㈸㝥摥㐳㘵㉣摢ち㡤㑤摢〲㐷收㘷㘵ㄹ〷愳昲昳敤搶挲㌱づ搹㠶ㅤ㘱㌳ㅦ晡㐳ㄲ㝢挲㠱挶晤挹挰㔰㠶㉦搰戴㌱搴戱㝤㝢挹㙤㜲攷摡戱て收㠸㘱㘲㙡㙤㔴ㅢ㠵㝦㔰愱㜶㠴㘹㥤㈴晢㔵ㄱ摢愱〱〷愲㡦ㄶ㡡㤱㔶㙥㥥㑡捤㡡㈵㌱㈳昸捣ㄸ㘶昶愱㘶㜰㝥㙦㉡㉢㈷戸㝡戸㤹㠳昳户昹㌱搸㠷㥤挱㐴搷㝥㌲㤹㠳㌷挳戶㤰㜹㜹㙦敤㍥搴㠲㘷扢㌵㕡㌱〵ㅢ㔶㘰ち愹㝢㝡摥㔲㑥㔱愷㡦㘱㑡ㄹ攳〵㍥改〱攳摥㥢ㄸ攰ぢ㜴㔸捦戸愶ㅢ搱㠷㑢㠱㜴㔴愶㌲㉤搴搰㤱㠴㌱㤷攲ち㙥㠶㘴㤰㙢㈱ㅣ㜴攲㉥攲㉡ㅤぢ慥ㄹ㕡搰㤹慡〸㘵敡攳〵㤸晤愷㜷㈰挱㘲戳㠷㤴昴㤱户挰摣㤶捤〴挷捦摥昷㘸㐸㥥㜷〲㙡晤戵㝣㙥て戸慣〰晢ㄶ㠳㠸㈷㉥〵散㐶捣戳昶挳㌱㡥愲攱搶㤹慤㌱扢挹挴㔵㘶愵搱戸㉣愷戱㥦㐸攱㤶ㄸ慦敥㔶㜰搸㐴戰㈶攳收㘲㌰ㄲ㔹㌳㌴㌴㉢搶ㄹ改敤搲挵〸戳收㙢戱挵昶㡢晥㤲昷ㄲ㡣扥㉡㈰ㄷ㔳㈸戳昰㜲㠲㜵㙢㘸敦㜷㕣㕡㤰换ㅥㄷ㑢搴攱搳㍡捤昹㙤ㄵㄲ昶昸㈴㤲扢㠳㘱㤹㜳㜴戹昸㡥㘹㉤㉦㠹昳ㄹ㡦㤸搲㠷㤹㌲攲㙣㘸㜳攲戸敦㡢ㅤ㥢㉤㘹㘶搸㐸摡㉦晡〹㝣ㅡ㤳㥥搷ぢ㔳㜴㉦㐷〸㉢㐹捦㜸摢㉦㤴愸㙢㍢㙣㌷ㄹㅣ㙡㌵ㄲ摡㤸㈸㐷㍥㕣㠰㘴摦攵捥散扢搴ㅡ攴戶ㄳ㐳㐷愶㍡て愱㈰㍥挰㌴㑣摣攵㑣敤捦挴㔵㙢愵〴㉡改㈶扡ㄹ㔱㕦㐴挰戲㤱㄰戴㙣愴㌰㄰戴ㄵ㐴攴搱愶〳挲㑡㈲㐴〰㍣敢㠰㤰㍢搱昴㜹㔸㔷〴㘴㑦㤴㐶㘱㘹㤴挶㌱㠶愹ㄷ户㥣㜰ㄸ〹〳摢㍢愴㤴搲搱愲愸昶㠹㉤㕢攸ㄷ㜶愹㉦〱㔸敤搳㈰㌴㡤戸ㄸ摢㡦〳㈸㥥㕡搱㑢㘳昳㈹愸换㄰ㄵ㤹㍡敥㘳搵攵挸㙥挷㐷敢㘱〵㔷㈰ㄴ挴㈷扤㘵㐸㈰戵摦㉤㠳扡ㄲ㈵㉣挲㔸摡㈴㉣㠹挲ㅡ昷扥敡㉡㘷㠴㕥㈲慣㈲挲搵㐰愰㉤敥㍤ㄷ戱㝣ㅢ搷㜶愱摤挱挶㕤㠳㌲戰㜱慦戱㌵㌲㡣㈹挶㙥攰㍣㌶㜲㍥ㅢ戹〹㠹戹攲戹ㄹ㘹〵挴昳〳㘴户攳愳慤㘵〵户㈰ㄴ挴㈷㉤㥥ぢ㤰摡扦㜸㜸ㄴ收㈰ㅥ㙥戹戴㜵慣昷㌶㘷㠴㡢㠸㜰㌱ㄱ㙥〷㠲㠸攷㑢㠸ㅤ㙡㙤〱ㅣ㙥摦㍢㐸攷ㄲㄴ㠱㜴㜸㤸㘶ㄱ㘱㤳捥㤷搹挶愵㙣攳㙥㈰㈴昰㌱㉤挰慦戲㤸㘹〱㝥つ㘱㉣㕥敡攷㐸愲ㄵ㈸㘳〶㕦㜹戶㡢扡〷愹戴㕦㠸搱摦㕡愸㜸戶挶昵搰愵㝤ㅤ攸㤹〹昹㥢㘶㜳ㅢ㤱挵㐹搹㜸慣挶昲愷㡤㑤㐰㌰愶㡤㤳〵ㄵ挵挷㈳㘰㥦㌶㝥㠱㜸㍢㍥摡攵挸㔴㍣愶ぢ攲〳㉡㡤㘹攳㕢㑣敤㜷摡㜸㐰㑡愰㤲㉢㠹㙥㐶搴㠳〸㔸㠲㐵搰㔲扢慢㠰愰㕤㑤挴㠷㥣ㄱ扥㑤㠴敦㄰㘱㌳㄰搶攱愳㝤ㄷ戱昴㘸攷㈱㥦㔵慦㙤戴㕦挳㘲搷戲搸㔳㐰挸㔵㘷㥥挲ㄵ㔰攷愷㤱摤㡥㡦戶㥥ㄵ㍣㠳㔰㄰㥦戴㍡㕦㠷搴晥搵㤹㘷㜸ㄶ㘱㉣㙤㡥戳敢㔱㔸扢㠱昵㍥攷㡣㜰㈳ㄱ扥㐷㠴攷㠱㈰敡㝣ㄳ㘲挷㔹敡摣捦㉢ㄸづ慡㝤㌳㡡㐳戵㜹㈲㘸ㄱ㘴㔳敤ㅦ戰扤㕢搸摥㉢㐰戰愹昶慤㉣㘶慡昶㙤〸㔳戵㕦㐵㔲㘱搵收挱摦㠰㔵㥢〷㠴㠶㙡摦㑥㉡㐸扢搸ㅡ晦㘱㌶挷戳挳㠱愸昶ㅢ挰㌳㔴㥢攷㝡愴㍡㑦戵摦㐴㜲㍢㍥摡㡦㤰愹㜸搶ㄸ挴〷㤸㠶㙡㙦㘰㙡扦慡捤㌳㐹㈰扡戴㍢㠹㙥㐶搴扢〸㔸㠲㐵搰敡改ㅦ〳㐱扢㡢㠸摢㥤ㄱ㝥㐲㠴㥦ㄲ㠱挷㤸敢昰搱㝥㠶㔸㕡戵摦户ㄵㅢ㡢戰愹㐱㜷戳搸捦㔹散㘳㈴收慡昶愷㐸㉢愰摡愴扡ㅤ㈸摡㍤慣㠰㝥㤶㈰㘲㘹搵摥㠸㠴晥㔵扢〸㔸づっ摦㠷㘴㙤ㄳ㠰愲戵敡㠰昰ぢ㈲晣㤲〸㍣户ㄴ搵扥ㅦ㠱晣㠵捣昶敥㡤㠳㍥㍦㠸㌲搰㘷つ㕦㔶㈳挳㤹㘲㉣㘴て㈱㔹摢っ愰㠶〱攴㡡㘷〴搲ち㠸攷㐰㘴户愳㉥敤㘱㔶㌰ㄲ㈰㠸㔸㕡㍣㡦㈰愱㝦昱昰愸搲㈲㡣愵㑤挲ㅥ㐵戲昶㙢〰挵㘳㑣〷㠴挷㠸昰ㅢ㈲昰㘴㔳挴昳㌸〲改㠵捣攱㌵㈱〷改㍣㠱㈲㤰捥㈸㝣㔹㙤搸㐶晢㤳㐸搶㥥〲㔰挷〳攴㑡㘷っ搲ち㐸㠷攷㤴敤愸㕤晢㉤㉢ㄸぢ㄰㐴㉣㉤㥤愷㤱搰扦㜴㑥〲㤶㐵ㄸ㑢㥢搲㜹〶挹摡戳〰㡡攷㥣づ〸扦㈷挲㜳㐴㌸ㄹ㐰愴昳㍣〲愳搲昳愲昳㙢㑣づㄲ㝡〱挵㈰愱㕡㝣㔹敤搸㈴昴㈲㤲戵㤷〰搴㘴㠰㕣〹㥤㠱戴〲ㄲち㈰扢ㅤ戵㙢㝦㘴〵昵〰㐱挴搲ㄲ晡㌳ㄲ晡㤷㄰て㍣㉤挲㔸摡㤴搰㕦㤰慣扤っ愰ㅡ㥤ㄱ晥㑡㠴扦ㄱ愱〹㐰㈴昴㜷〴づ戲㈴㤴晢㤲㤵㠳㘸㕥〵㍥㐴挳昳㔲㡢〲㥢㘸㕥㐳戲戶ㄵ㐰昱搴〵晦㜱扢挳っㄴ㈱攲㔹㠴㐸慥㥢㌸捦㔹㕦捣ㄶ㐲㜴摢户愴搶㐴㜰㔴挲㈰摤挶㐶㠸㌶扥㤱つ㘷㜶㍣㠱㤹愴㌸昷ち㙢扡散㌹愸㙡挸㠸㥣㜷㜱愴ㄸ㜳㥡㐱㡤攷㈰ㅣ搳昶㔹㥥ㅣ㘴㉥攷戳っㅦ敦ㅢ㐸ㅦ㌱㌷摣㤹㠸㈷攳愱㔴㘵ぢ㡥晢㉡昹㙥㔳〸ㅢ摦〶捦㠱愸搱戱㑤㌲㔶ㅣ攳摢摣慢㜸摦摦户㌲ㄶ㍦㌷㈶搴㜸㤲㝣挵㡢慤㘹㈵㈵㙣挶搸㘴㈰㜰㌴愴攸㕦捣ㅣ㍣晥㈵㔶㘰愹ㄵ愰昷㥤㡦㠷づ敡㠱扡挲㐹㠸敡㔰㥤慡㑢改挵㈵㈵㜹ㅥ搱㍣ㄷ㝡晡敤ぢ慦㤷㈶㤴㘷〴㔸捣㜵愳㍡ㄷ㈲㜹ㄹ〹戲㌰㔳戴户〱戵㜷〰㝣晥㜳〰㐹㤰昷㕤〴づ㘸㥣摡㤶晤ㅥ扣㜷㍢㤲㠷㈱ㄹ㉦ぢ㔸慦て㔰ㄹ扣㍢㤰㕥㠶㜴㜱〰㌴攳㐵㉣敦㑥愴っ㐵㡡敤搰搰㑦愷㍣㙢搷摥㐳㐰敥㙥挹敢攴昲㘲戹愷つ㘹戹㙣搸㑥昱㙣摥㘰㥥搵昸㙤㉥㝡ㄱ挸〱愱㠵扤㐱扥㥣㍣ㅦ扥愲ㄴ㤳昶〷て㐳戱攱戱敢㔷ㄷ㠴㠵㘵慤散㤲㕣ㄹ㘴㜷愵挹㥢扣㝤戳㜷晥ち㥦㐷敢㔷㘱慣㔶搰㈵㌹ち挳㤹挳愷敤㐲〶つ捣㜶㝣ㄳ㐷晢㈷愱昹㜸㠲㠸っ摣敤挵㤲挳㌳㐷㘱㍣摥ㅣㅢ攱㉦㜷㌸㥤愱㘵㥤㈶晢㌰㘸ㅣ摡㔷ㅣ扢慣㔵摢㙤〶㐸戴㕡㡥〸愷㍣攵〱晢㥣㘸㐸慥昷㈳愴昴㌹㝢愸㈲愰㜱〶挹㥥〱扡㔱㐶搴昸ㄳ〴捡㡢晣㘱㝣昱昱慦戰〲㉢慤〰㍤㈸㝣㉡愲〸戰ㄶ慦㐴〷ㄱ昸改㈹㈱㠳ㅡ㠷慣挶㠱愸㜱散昹攳㔶扡摢㡤愴㐳㠹挱㕢㝦㑡㝣㈲㡣㜱㘹〳㡥ㄴ㔶〹㠴㐴㍡扢㍦捥㐸㐷攳摣捡㘹㔴敤㐲㙡扥㈰㤲㤲㡤戶㔲㔶愰搷ち慣㌲〳㙡つ〲㥣づ搵〷愸㠲㔳ㄵ㈵愰昹㐸搳㄰〰㥦晦㍣㘴㡡㌴㠵㝥㑥㌰㌶㈶捥户㌲昹摢㉣挶㡣㌱㥡攵㉢〱搴㕡㘴攲㍦㝥㤳挲捥挹〵㐸ㄲ㑥摥㜴攴㘴㥢㈳㈷ㄷ戲ㅥ㍣晥㜵㔶攰㈲㉢㐰㕦〵ㅦ㜵〹〲挲挹敢㈶㈷㈲昵㐳㐸搸愱挲〹摤づ㝤㜲㜲愹㤵㜹㘴㥡㤳ㄳ㔰慢晣昸㠰晡㉡㌲㌹晦昹搴㥦㔰㌷挷愷㌱捥㡥㘱扤ㄸ㘷㕦㐳ㅥ晥㘷㡦㌳昵㜵㈴㜱慣昹搴㌷ㅤ昳㉦户㔲㡦㐳㌵〸ㅢ㍤晤㉤㠴㐴㍥㉦搸攵挳㜱㈰㍤晤扣愳㝣慥㐴戶戰㜶㈲慡㠲捡㕦㈵攸㤰搷搵㔶攰摢㔶攰㍢㘶愰㠲ㅢ晦捦㐶攵慦㐱捤㑥㉡㝦慤㤵㕥㐵ㄹ㔷㔱㘰扣〲慤搶㈳ㅤ晦昱㝢ぢ㜶㐱㕣㠷㈴ㄱ挴㤳㜶㐱愴㔵㝥㡢愳㈰攸㄰攰攳扦挱ち摣㘸〵扥㘷〶搴捤〸㠸愲㍣㡥㉡愸昲㐲敢㈹愴改㔴〰㥦晦〷㐰攸㔳㔱㙥戱㌲㈷戳㐰ㅣ㙤挹㉦㍡挸㙦㍢愸㕢㤱㘹㈸捡〳愸㍢愳㈸つ慣ㄷ㡡㜲ㅢ昲昱㍦㐷㔱㙥㐷㤲愱㈸晦攱㤸晦㈳㉢戵ㄱ搵戰㌸〹㔶ㅢ㄰ㄲ昹㙣戲换㈷慤㈸ㅢㅤ攵㜳㈷ち〹㙢㌳㔰ㄵㄴ攵挷慣づ㡦晦㉥㉢昰ㄳ㉢昰㔳㌳㔰昱㌳〴㍥ㅢ㐵戹ㅢ㌵㘷〴㥤㥥ㅢ扤戳㐱摣㠸戶㐵昱㐴㉣搸ㄵ㙦㙢搶㤳㜸㘳㌷搹挶㝢〹摣愹㑢㠹㌹㐰㤱摦扢搰㑥〳昹摡㝣㑡收ㅥ㘴攲㍦㝥㡥㠱㌱〴㐴㑥ㅢㄱㄲ㌹㙤戰换㈹慤㐷㍦㜲㤴搳㝤㉣㡥挷扦挹ち㜰扢㉤㈹扦㌴〳敡㐱〴㐴㡦晥ㄳ㔵㔰㡦搰慡㑢㕢㑣挲㤶〰昸晣摣㍣㘷搸换㤹㍡㌷㕢㤹换㔸㐰昴㘸㉡换㌷〰㈸搹㌰㌳搶㠶㑣㈰ㅡㅦ㙥㤸㠵㤳敦㌹㜲㜲㠳㈳㈷㡦戲㌸ㅥ晦慦慤挰㘳㔶攰㌷㘶㐰㍤㠱㠰㜰㜲扤挹㠹㡣㠸㉥ㄲ愶〳昸晣摣攸昶挹挹㔳㔶收ちㄶ㄰㑥㜸搱㔸㝥㤷㐳晤ㄶ㤹昸敦搲㘲㈶㈷搲㈷㑦㈳㐹㌸昹㤶㈳㈷㤷㍢㜲昲っ敢挱攳㝦搶ち晣摥ち㍣㘷〶ㄴ㜷愳挲挹㘵㜶㑥㤲㈴㉣㈵㥣扣〸㠴㍥㌹㜹挹捡㕣㤳收㘴〱ㅡ㤴摦昸㔰㝦㐴㈶晥攳㤵㌳㍢㈷㝦㐶㤲㜰㜲戱㈳㈷敢ㅣ㌹昹ぢ敢挱攳㝦搹ち晣搵ち㜰挷挹㐷扤㡡㠰㜰㜲愱㥤㤳㡢㐹搸㤷㠴ㄳ敥ㅦ晢攴㘴慢㤵昹㤵㌴㈷扣〲㉣扦ㄴ攲攷㌶㤳愶慣昶つ㘴㤶㔷㔴扣㡤戸〷昱ㅣ攳㠷㘷㘴昲搴ㅢ㕦愵收户扦扥㠲扢ㄱ㈹搱慡㐶㕦搹攰㜹昹挲摣搷〶愴挴慡搷㡣ㄲ㥦㝦愳㕥扤㠷ㄲ㑥㔷㠲㝢挰㥤攳㑤昸戸㤹㤱晢愶戲愲㜱㡢晦昰㠸㠳㝡〶昸昱㕢ㄶ慥㝦㌷愲挲摣㔵挲㥣攷ㄳ挴㑦敦晢ㄶ㡢㙤晦㌳ㄶ〷扥㔹扦㤳㌱つ扦㝢㐱㑤㜰ㄵ攱づ㤹㜱昳慡搸㝤摡摥搵挵ㅤ㐴〵慡攲挷ㄳ〱㙦晢㔰てㄹ捥散ㄳ㔹攳㤱昸㘸摦愶㍣㘸㑤㘶攴晣ㄵ愶㜳㐴慡攵㝤挹㌹㘴㘶攴扥㤷收愷晤㈹㠲晣㜷〴愰㈵戴〹愹㈱〳搶ㄲ攰攲ㄹ㔱㕦㐱㐳㔲㑡ㄶ搴㤶户户搶㑢㠱㥥㕢㡤㙦搷挱昵㡡㘶㘵㠶㥢ㄸ昲つ㙥㠲㝤㜱搳㙥㘶攴扥㘸收愷つ㉡摣摣㠴〰戸愱㕤戸㘷㍡㑦㈳戲愰捥ㅢ户㉥戶〵敥ㄹ㜵挹㥢ぢ敦戹㉣愰㘸㑡㍡㔱扦慣㉦敡捦㌶㌳昲摥ㄴ愳愱挹㕥搷㙥㌵〳㡣昸㘹㌷ち㑦户㈱㔰㕥愱㘸晣㔱摤搵㔲搴㐳ㅤㄳ戵戸㠳㐵㘸㜱㘵㐸挹愸㐵㜳㕦愴㉣㌴㌳㜲摦捤昲搳㐶㤳㐶敦㐴〰㠲愴摤戴㘷㠲愴㤱㔵㔰㤰攰捤㌵昹㕤扤㠱摦慥ㄵ愵つ㡡愶㔶㠶晡㡣ㅡ捣改㡢晡搹㘶㐶摥换㔵㌴挴㐴㤰㜷㥢〱ㄱ㈴敤㉡攱改攷〸㐰㤰㌴㡥㐴㤰㌳㔱㑦㕡㤰昷戲〸敤㡥っ㈹ㄹ㐱㌶昶㐵捡㔴㌳㈳昷㜵㈶て㑤㤶㜱㌹㤳〹㥤〹昸㝤㠹戹挱㔸㜰戹㥥愸㌲㉤㈰搳〰愲つ㠶㙤戲慥㐲慡㕢㠵搵ち戵㔲㐵㔴㌴敢㔷㑡昰㡢㠷㐵㔸㘰〱㑥ㅥ㔸捤晣戵㈰㜱㙥㤰晤摣ぢ㘰㌹搴攰㤷㐵挴㝦㤴挶㜷昲〰っ散㐷㕣㑡㑢㜳㕦敡挸㘹换攴㥣搷㔱挵㤷昲ㅤ户挳愵㕣㄰〴㐷㘲㘷㔵㔳㔸㝥㔶㌴㤸㔸搳㍥㝥搹㌲ㄳㄱ扦㜹㈸扦㘱ㄵ㑤㜶挶ㄳ㤱㜰㐷收㌶晢挰㝦捤敡搴㔳㠳㜵㥤㜵愷搴㑣慡㥤愰㔷㑦㥣搴㍡㙥搹挰愴㙡ㄸ慣㘳㘷挵㝡㝡昱㝥㜷挲攸㍦㤸慦攳㉡挹收攰晤㥥㘷㙢㙢挱㉥㄰㤵敥㐰挷㝡敡愱㠴㝢慡ㄱㅣㄹ㤹㔵㠶㜵昱昱〴㔰搵㥥㈸㑡㝥㌵㌲晥ㅥ㠲昶㙢㥢〱㜸㜷㤸㡦昶㌰㔳㝥〵攰昳搳㝥ㄷ攲ㅦ㐱〰㜳っ㙤敡扤㕢㝡㘸㠸昷扢昴慣晢慦慤昵挲摣搶搷攵㝢摤戱摢敡ㄵ捤昲捣㐰捦捣㌹愷昴㌵搰敢捣㡣摣㔷昷晣戴攱㠵㥢㉤〸㠰ㅢ摡搵㝢㌶㘳搲〸㉦㌸㘳搶捡戳㌹戰晢㠲ㄵ㥢㔲㔷㥤ㄹ㔰㌴挵㥤愸慦敥㡢晡㤳捤㡣摣㜷敦晣戴摢㠵晡愷ㄱ〰昵戴愵昷㡣㝡ㅡ摥〵愹㙦㌵㉦㌰㥥㍦攲扦㘶晣昵扣㝦ぢ㈸ㅡ㕤㑥搴㥦搸ㄷ昵㘳捣㡣摣㤷攷晣戴搵㠵晡㍦㈰〰敡㘹㍦敦ㄹ昵㌴戶戳愸ㄷ㑤㜱搵ㅡㅡ攳慡㌳扦㈷㤸摦㉦〷ㄴ㑤㙥㈷敡㡦改㡢晡愳捤㡣扣户摦㘸㥦攷㑥㤴㌶㥦扢摣㐹户晤㝥㥤搸㤶㈱㍡晣㠷㠴㡣㘴㑥搵㜲昱㌹㈲㐷㈷㘵㜸㠹㈵㠱㕦㤰㥢㠳㜷戲昰敡ち㝥愴搶㍣㍦挰扢㕡扣ㄴ㘶扤㍣愱㐹㡣㠵扤愱昹〹扣㑤㔱ㄲ㥡㤵挴昵摥慥㔲晣ち㔶ち㍦昴ㄳ摢ㅦ㥣昷㌸捣㉡㠶㠰昰挸㔵㑥户攳㌹ㄲて㠸㜲慦挷搹㐴㤸㤱㠷㜵挵搳捤㜷㕦昶捥㜵慦㜵愰戱㘲㌵ㅡ摤㘹㌸㘳搷戹挴㡢㡤㙢㐱㌸㙢〴愹昰〰㤱㕣〴戴扦㈲㉡昸〲㕣㝥㙥㘶㘴㌷昷㜷〴捡㡢ㄴ㜷㉦散㝥敦㉢〰ㄵ搶敦攴㔶捡㘱㔸搲慤づ戳摡㜸㜳晣㈱㤹㌶㕥㘳㠱慤〰晣㍤ち㠵㙦ㅡ㍢㍥敤㜵㠴㙣㙤㜹戸㔱挸ㄵㄶ㑦ち愷戳㐴捥捦挵つㄹ㐲〹㉥扥㜶㘳扤㙢㐲㙢㠳攲㕥㠰㘴㤹慣㡥戴挸㜰搹㔹㝤ㄳ〸㌶㔶摦戲昰つ㔶ㄵ㉤㜰㕢ㅤ挳ㅣ敢㜸㌷扢㡥敤搹㜵昸㘹〷㡢戸㜶㈲〰㜱搱〲㤶㍡㈹㉥户㉡戳敡捣ㄲ捦㍦㤰愷㔱㍣ㄹ搱㝣挰愴づ㜰㘸搲㜶〷攲ㄴ㑦㥡㘱㕡戹㌶㘲㑢慣㡡戳ㄸ摥つ㈴ㅢ挳ㅦ㈲㙡慢搴㑦㕢㔳㠸晤ㄸ〱㄰㑢㉢搳㐶慣戲敡捣㈲㤶捥慢ㅣ㘲摤㑣敡挸㄰㑢㠳㌴㡢㔸㉥慡㥤挸捦扣㝡㠴ㄲ㜸换㥤攵昸㌳摤㡡ぢ慥〳㠲㤷〸㈵〰㥥㠷㠱㤰㍢攳ㄴ㌰捤㜸㔷㕣〵挵ㅣ挵昱㈸っ搳攵㌰㑢㍢㔵㐷戶㔱㕡㔴㐴敥㘹㤵㍡㤹㉢改㌳愳㠲㤹㝢㘲㜲㜰挲㉦挵㤵攱㍤戵㜸㔸㙥㠳㉡㘰㘸㜲㡥㘸慦㔹㌶㌰㉢㔰㙣搷戱愶㈱㙢㤹㠲晦ぢㄶ愰户ㄴㅤ扢㘰㙤㜳㍣㥥㕡㙢捤㈳挹戵〳昸ㄵ戹戵晣㙤捦挸㕡摢㑢㕦戶㐲ㅡ㝦㠴㕦昳〱愸㝦㝣昴改愷戴ち㌹户㜱愵㌴昶挱昷〶㜰昵ち捦㕢〱㈴挹愳摥〷㈲㉤㔱挶戴㜲ㄴ昵ㄵ搳摥晢㤷㙤敦昴㌷〵㕡㕢㌹㘸昲㕥㜴㑣扦搷㔸づ㥦㤴㙣挷ㄶ〴挳㠹㈴㘶㡢愲搲㉢ぢ改慥戹㔹㥡昶〵攳ㄸ摥㝡搹㤱敡晣ㄹ敥㤸㕡㑢搷ㄷ摡戹搹㜹昸㝦户㜷㕢搶捡㥤㠹㌶ㄴ〳㠱㔷㈶戴ちづ㈶敥㜸㙣敢捤扢ㄸ㌲昹戶挴㌰㡥㥤㡣㉤㌱ㅣ㔱晢扡戰㈵扢㡥㌷ㅤ敢ㄸ㤹㕤挷㐱㌹㜵搰摡户搱戱搵戱㡥㐳戳敢㌸㉣愷づ摡摣戶㍡晥敥㔸挷愸散㍡㡥捣慥挳㐳戳㘹挰昶ㅢ㘷愰扤扢慢愰㡤㐶扢㡡㐶㤹散㑥㡦㘲っ㤵挹㠷ㄶ㤹㜸㠳晥〴〶攸つ攲㡣愶ㅤ㐳ㄴㅡ㕣愴㔰㍢㤶㌱摡㔹㔲晣㌸㝢㜱㕡㐳㠲㜳㍣㔳摦戲㜰㑥戰攳搰摡ㄱ㥣㌱㑣愵戱㈳昵㥣㘸挷愱愵㈳㘴晣摥㑥挶㌸愲搰戰㤱攲㈷㌱㐶㥢㐶㡡㔷搹㡢搳㐶ㄱ㥣㤳㤹㑡ㄳ㐵㜰慡敤㌸戴㑦愴㠹愷散㑤㡣ㄷㄴ〰㈹㕥换ㄸ㉤ㄱ㈹㍥挱っ㌰攲愷㥤挱挷㉦㝦ㄲ㠴〱ㅡㄶ㝣晣㌴㉥昸㈸㉥ㅢ㔲戲捥㑣㤱㔴㔹㐷㄰搲散愹挵㕣㈲晥捦慤挷㘴换昹㉦摡㘰㍥㥦㍣㈰晦㤱愳攵㘰摣㍥挲㥦挴㌹〵㉤㔸捥㤰㘲㑥ㅥ晢攳戴捦㕥㉤攱㠴㈶㥤㑤㜲㡢慥昹搷㐲攰昸挷㠳戰搰㍦㠶攱昶㉦昱㌸晦㙤愵搶㔶㑣㑡慥愲㤵㌸㠱㤳捤慦㉡㍥㘳㐰㠳挸㜴㥡攷㍢㘱㘹攵㝢㈷㐲㌵捦㕣㥢昵㌳换㙢㌳㝦㥥㘸㉦捤攳昴㥦搹㤹㠴摡搵㈳攸㔴㜶慣昷㜴挴㤶づ㑡㕢づ㜷搶㈷戳愹捤㔶㔳㘷っ㕡㔳づ敦㜹〵搸搴〳㔶㔳つ㠸㜵づち㔷晤扣㠳㌳㤵捤晥挲㙡戶〹戱㐵㠳搲㙣敥〵敥㘹㙣㘷愳搵捥っ挴㤶つ㑡㍢㝤晣㐵㤰㤹㙣㡥㠶㥣慣慡戳ㄸ愳ㅤ㈷㙢攳攷捣〰㈳㡡㠶㥡攰捣㘶㉡敤㌴挱㤹㘳挷愱㈱㈶㌸㜳㤹㑡㍢㑣㜰收搹㜱㘸㘸〹捥㝣愶搲捥ㄲ㥣〵㜶ㅣ戱㠲搰㘸搶㠵㔱㍦慤㈱昱㕦㌴㈳㔰㕥㔴㐱搳㘷㈹戰摣慢㔵㘷㝢㔷㝢晢慥㡡攲捡㐳㡢捦慣㉦扢昶攵摦晣敤捡㘷捦㤹戲昵愳敢慥㝢昶㤵㉢户㝣戴愹㘳捡愳摦晦晥挳㥦扢㜱换摦㠶㠵扥攷扥㝢搷㥣敦慤慤㔹戹昶ぢ愱挵㈷捥㔸㝢搶㡡㠵㌵ぢづㄸ㕢㔴㔴㔲㜲晣昰㕦ㅦ㝣㠲㝦摤ㄷ敥㔱て扥㜰㔰㑣㠹㌵㐵㌲㕡搰㤲昵昸㘹㔵〹ㄹ㡢㠴っ㈵昶ㄴ戱慣戳㝦㘲晡㘹㔷〹搶ㄲ〳㑢㉣慡㍣㉣㕡㔶㠲㜵愶㘰㔵搰㡣晡㑣㔹ㄲ换㡣㘴㥣㠵㤶慣挷㑦ぢ㑤挸㌸㕢挸㔰㘲㥢ㄱ㉢㡢㈵摡㘸㠲㜵㡥㘰㔵搰㈰晢㑣㠹ㄵㅢ㡦㘴戴愲㈵敢昱搳搶ㄳ㌲㍥㉦㘴昸㉤㕢慤㠴ㄶ㠹㈸㔳㈹扥㡢㜳㉦㌶ㄴ㜰ㅦ攵㝡㐷挴㔳摦㠶摡戴㜶㠲㈰㐱〷㐱㈷㐱ㄷ㐰戹摢挳挹㜵ㅦ㤷〰扥㠵〱户㔵㈷㕣㔶㕤㜲㥡扡㥣㈷愹㉡愶攲戸改㙦㥣慣昶っ㠹㘶晥ㄴ㔳㤶㍢ぢ㝦㔶捥ㄴ㠹戸戵戰昱摥愳㔳㕣昲㌸㌰挷㤴昸㡣搲㠷慤ちづ㉤㍣〵㥤㘴ㄳ〷戴㌲㘶㤹㤷㜸㔳〰㈷㤴戲㈶㝡扤㜷ㄶ㜲㈰散㤱昳换㕡㝤ㄷ攱㡦㐴㉤㠸攳搷晥挵㔵㌱昸摥㉦㐷㜹愴捦愰㐵㥦㜸捥㉥扢㘳捦戵㤸摣昷㔴昴㥣㈳戳㑦㐱㤹愲㔶ㄵ敤㕥㜶摢㤶敤㠱搷搷㝦昵愸㕦ㅦ晣㕥攰㡡晢搶㑥昸愴晤㈱挳搷昵攲㙢昵挰㜱戹㜶㙦㌳扥ㄱ搴扡愹挱㘱〰㜹昲㌰敥慤搷㔶㈰㜳㤷ㅣ㠵扥ㅢ昰㈹慥敢搴㜴戹搹㈸攴慢慢㐰㍥㔹㄰〲㡥扡昴㥣搸晡㥦散〸㡣㍢晦戹搴摡摡㥤㠱㜵敥㉦摥㜰搱慥ㅢ〳㈳㡥扡晦㠵敡挴收㐰㜳搳慤摦愸㝢摦㈴㠸〴挴㔸㔹ㅣ挰捡戱㌰搷昵㝣㌰敤㤹ぢ攲〱慤〷㤹㡦㕦户昹㥡ㄱ㙤㍢敥昷㈹慥昶㌹〴㝣搳㑥挰㤳攵㑦慣㕦㕡戱㈳㌰㙦昸挱㌷扥晡搲捥㠰敢捣㍢㥢㕥晥昵愶㐰昷挳愷慦㌹昲愳搷〳㕢㘲ㅦ摣㍢晣搴㌷搲摥㍦㡤㝦敢㔳敢〵挸挵愸晦攱挶㈱㑤ㅢ㙥づ㘸慢㤰㔹扦昸捦㤳扢㌶戸敡㝤㡡敢㝥づ〱㤷摡〹㔸戰愹晤愱慦㕦戶㈳戰攱晥搱㙦昴㉥摢ㄹ㜸㜹㘵攵慥愶敢㙦て㝣晡㔱昱㙦㍡㈲愱〶㔵昴㘱摤㠱〹昳ㄶ〹㈵㜰ㅥ〹㌸ㅦ挰捡戱㌰ㅦ〸〴㉥扡㙢搶㤱つ摡㕡㘴ㅡ㠳㝢㍢㈴㐰㠳㈰㠷㠰㡢散〴㥣昳攵搱㘷摥扤㘲㐷挰㝤㜰挷㜱ㅢ捦摢ㄹ㘸㍦㔴㝢㘵戲敢挷㠱ㄹ挳ㅦ扤昱ぢ摤戵昵昷扥㌵戱晤戲敦㕡〷㠳㘸㝢ㅤ〹戸〸㈰ㄷ愳昲扢㐷㤴㙣搹戱㌳愰㕤㡣㑣晡㠲昰㥡㍢㜴㠰㈶㐲づ〱攷摢〹㌸攲〴晦ㅦ㉥晦搹㡥挰㝢慦㡥㝦敥ㅢ㌵搰㠱摥つ㕦〹㝣㝡㐳攰搹㔹扢捦敦㜸敡㥤挰㙢ㄷ㍦扤㘰挵挷㙦㘷扡攰换㈴攰㔲〰㉢挷挲㝣攰㑦扢扡㍣㠱昵〱敤㉢挸㍣搸㈰〰ㄲ㄰慢〴戱散攵㠸搶㠹慣〳㕦㐳〰挷ㄹ㘲㤷攴㘱搱㍥ㄱ慣㙦ㄸ㔸㘲㤹攴㘱搱㐲ㄱ慣换っ㉣戱㑤昲戰㘸愳〸搶ㄵ〶ㄶ敤㄰昱㔳挴㈱づ㝡㘴愶愲㐸㈹㕥晥愲扤挰㐱㕦敥㔷㌴ㄲ〴㈷㤶㡤愳㘸ㄷ㐸㐶㌴㈷㠳愶㠰㘴㐴戲㌳晣㘷㘵㙡攵㍡㉤㌸㉢戳㜱ㄴ㤷㘶挹㔸㤱㥤攱攷ㄲ㙡㤲挴㜵㔳㜰挲搹㌸ㅥ㉥㜹㝢㍤㜷㤷㠱摦慣〵敡㠰㥣㌳㠷戱挱扣㤴慥扣ㄴ㍤㉦愵㌳㉦愵㍢㉦㈵㥣㤷戲㈲㉦㘵㘵㕥㑡㈸㉦㘵昹攱戹㌴摢晦昶ㄲ晥㐴ㄲ㝢ㅦ㍡㔰散㜸㠲㤴㥥敦昷攰攴㡡㕤戲愷㙢〱换挸㈲㍣戰㠲昲扢㍣改昵㝢ㅦ㑤ㄶ戶敤戴昶愷㜹㈷㠲㑦扢〶㥡攴扤ㄶ㘰扥㜱攰㌳㘸㝢㕡ㄵ㠲捥㕡慢て㥡挲挵扣搷敢㥤㑦㝡㜶㝤㉡昹㔸捣㤴㡥㐲搶㠹㡦捦愷㘸搵㔱搷㑤㍡慦㐷㜰摥扥搰㤹扦ㅦ㔶ㅤ㌶㌲慤㕢㌱晤㤲ㄹ捣㈶㤳㜶愷㡤捣㥢昶㤵捣晣扤戴晡扣㡤㑣敢摥㘸扦㘴戶㘶㤳㐹换搸㐶收㉤㠸㥥扤㉦搲㉣扣て㔷㘷摢㐸㘶〷昳㠶㘶扦㈴㥦㤵㑤㌲敤㜸ㅢ挹户㈳㍡㝢㕦㐸捥搹挳慢㈵㌹㌴扡㕣ㄳ晡㔷搲挵搹㌴㜲㥢㘱愳昱㐷㠸㌶敦ぢ㡤捥晢㝦搵㙣㈳搵晡搵㥡㝥挵戹㌰㥢㔴ㅡ㤵戲㠹户戶㘲散ㄷ㐵㉢搳挶挰㕤㠸づ晡㙣㌰搷㐶㍤ㅢㅤ搰㙣㌰挷㐶扤㐶挳挶㔷㑣愳昷晦摥慥〳㐴昷敤攳㥦㌲愰㑤㤸昳〶㈹敤攴扦ㅢ㑤昰㉣㥤ㅦ㐵搳㍤扦㥢㘹换摢扡昹㕥㐴〷㝢㌲㥤㙥敢攵〱㑦愶搳散扤捣㙤㡣㑦㜱㘷挱㥥搶㝥〱㤰㘶㡢ㅢ㠲㝣戶戸㐳戰戱昵〰愲晢挴㤶挳攴ㅢ戰戱㌵攰挹昷っ㍢㕢〱㔰攵挳㈶搰㘴敢㘱〴搲㙣㜱㥢㤱捦ㄶ昷ㅤ㌶戶ㅥ㐵昴戳㥣慣㈷摡㔸㠴ちつ㙣戲㍥搵捥㈲户㕦㍥挵ㅤ㤱昴摣攳〸愴㔹攴㐶㈶㥦㐵敥㙣㙣㉣㍥㠹攸愰㑥敥㌵㌹㍣つ㘸㜲慦戶昳挴ㅤ㥤㑦㜱㤳㈵㍣㍤㡤㐰㥡㈷敥㡤昲㜹攲㘶挹挶搳敦ㄱ晤㉣ㄶ㠳ㄳ㙤慣つ㜸㌱ㄸ㘳㘷㡤㝢㐵㥦攲昶㑤㔸㝢〱㠱㌴㙢㕦㐳㐴昶ㅤ挷愱㠴㙤扢愴戸㌵㤳㡣㘳㜳㌲戸ㅢ㤳㡣㘳㜲㌲戸〱㤳㡣愳㜳㌲㘸㜸昲昲㤸㔶㡡㠰敤㜲搰㤱挰ㅢ搰攵愰㔱㐰戴㑣㐵敤敦愸挴㔷挲㐹㔰晡㐴晣㡡戹㉦㜱㌹晢ㄵ㥤攷㔵ㅡ挷摡㉢愴散㔵㠲搷〸戶ㄲ扣づ㔰㕥㔴挲㜹㘹㄰㕢摡挶慡摦㈰㜸㤳攰㉤㠲户〱搰ㄲ愷㡡㐱㙣改ㅤ㔶晤㉥挱㜶㠲ㅤ〴㍢〱搰ㄲ㐷散㈰戶昴ㅥ慢㝥㥦攰ㅦ〴晦㑤昰〱〰㕡攲㌸ㅡ挴㤶㜶戱敡㝦ㄲ散㈶昸㤰攰㈳〰戴㐴戵ㅥ挴㤶㍥㘶搵㥦㄰㝣㑡㐰ㅦ㠳挶慤㈶㥣ㅡ搴挰㜲㈶攲㠷搳攵戸㝤㍡㕡昶㔰㠵昶㐵て㔱摣㌵㈴㙡㕥〶㤴㍦㌱扣㈸㤸㔸慥ㅢ摥搱㈱㔱搹㌱㡡愷ㄴ㜸搸㘹㔲㙤攵㠱扦搰昲㌸㕡㌶愲愲㈶㤳ㅥ㜹扥扦戵扥㜹摢昵㜳敦㙣摢ㄱ㌰ㄶ敡㘷〲㡡㕡㥥㐶挰㙥敤攴愷ㅡ〲昷散摣㘱扡㠳㜰㔱㥤㈳㈰㡤㌰㝥㕢㝤搹捦㕥慤㝥攰㤲㥤〱㘳〶㝡㉤愰㌸㍡搲〸昰㘶㕡摥㑥敢㘶㥦愲愲ㄳ挱昲㈹㕡摥挸㌴㤱ㅣ〴㐴搰㙡户摤ㅤ㌹㘴㜳愰㙢摢㔳昷ㄷ㤷敦捣㄰挹〱㐲〴换扣挸㈳㤲㠳㠷〸慤戵㕦摣昰捦㌹㥢〳ぢ㜶晣戲昷慥㍦散挸㄰挹㠱㐵〴换㥦㘹㜹㐶搳㐴㜲㡣㄰挱昲㍢㕡㥥换㌴㤱ㅣ㍦㐴愸戹昶攵㡥㌱㘷㙤ぢ㍣昲搶㠶改扢慦戶㐹㤲㘳㡢〸㤶戱㤰㐷㈴挷ㅤㄱ㡡搶㌷晦㔶㝢㜱㕢㘰戹敦㍢扦㡢㉤戴㐹㤲㘳㤲〸㤶㔷搴昲㥡愶㠹攴昰㈲㠲攵㥢戴扣㥡㘹㈲㌹昴㠸㜰晢敥㥦㝦攴搹愴㌷っ晤愴扥摤㝤㠴㑤㤲ㅣ㤶㐴攰挳扤㔹ㅥ㤱ㅣ戲㐴㔸敡㤹㔹㤴㌸㉡搴昰攵ㅢ㐲㑦搴㍣㘶㤳㈴㠷㌳ㄱ㉣扦愸攵㘱㑤ㄳ挹㤱㐹〴换㝦㘹㜹㐰搳㐴㜲搴ㄲ攱㠸扦㝤㜷昱㠴〷㙡敢㌷㡦㝣敦戰搵昷摡㈴挹ㄱ㑤〴攳㤹㤰慦㤳ㅣ敤㐴昸晢ㄱ摤㜷㍣ㅥ㤸㔰晦敦㤷㕥搱戱㙢慣㑤㤲㥣〹㠸㘰㜹㔷㉤敦㙢㥡㐸づ㙡㈲㔸㍥㑥换㍢㥡㈶㤲〳㥥〸㤱晢扥晤㔶捦改敦〴挶ㅣ晥㔱搵愴㌲㥢㈴㌹ㄹ㄰挱㝡㉦㘵㐲敥挰攱㐴㐱㠴㜹〷㥣晡昲戲㙦扤ㄳ昸攷愴敦㝥㜲挱ぢ㌶㐹㜲ㄲ㈱㠲攵㕦戵㍣戵ㄶ㤱㈵㥣㔵㌲ㄳ搹扥ㅥ㤹㜱挷㈷扥㝤昱慦㡢㡦㕢晣捣攲敢㉤㜷て昹ㅦㄶ挷㔸摣</t>
  </si>
  <si>
    <t>Crystal Ball Team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</si>
</sst>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3" x14ac:knownFonts="1">
    <font>
      <sz val="10"/>
      <name val="MS Sans Serif"/>
    </font>
    <font>
      <sz val="8"/>
      <color indexed="81"/>
      <name val="Tahoma"/>
      <family val="2"/>
    </font>
    <font>
      <b/>
      <sz val="10"/>
      <name val="MS Sans Serif"/>
      <family val="2"/>
    </font>
    <font>
      <sz val="11"/>
      <color theme="1"/>
      <name val="Calibri"/>
      <family val="2"/>
      <scheme val="minor"/>
    </font>
    <font>
      <b/>
      <sz val="11"/>
      <name val="Calibri"/>
      <family val="2"/>
      <scheme val="minor"/>
    </font>
    <font>
      <sz val="11"/>
      <name val="Calibri"/>
      <family val="2"/>
      <scheme val="minor"/>
    </font>
    <font>
      <i/>
      <sz val="11"/>
      <color indexed="17"/>
      <name val="Calibri"/>
      <family val="2"/>
      <scheme val="minor"/>
    </font>
    <font>
      <b/>
      <sz val="18"/>
      <color rgb="FF1F497D"/>
      <name val="Cambria"/>
      <family val="1"/>
      <scheme val="major"/>
    </font>
    <font>
      <sz val="12"/>
      <color theme="1"/>
      <name val="Calibri"/>
      <family val="2"/>
      <scheme val="minor"/>
    </font>
    <font>
      <sz val="11"/>
      <color theme="1" tint="0.249977111117893"/>
      <name val="Calibri"/>
      <family val="2"/>
      <scheme val="minor"/>
    </font>
    <font>
      <u/>
      <sz val="10"/>
      <color theme="10"/>
      <name val="MS Sans Serif"/>
      <family val="2"/>
    </font>
    <font>
      <u/>
      <sz val="10"/>
      <color rgb="FFFF0000"/>
      <name val="Calibri"/>
      <family val="2"/>
      <scheme val="minor"/>
    </font>
    <font>
      <sz val="18"/>
      <color rgb="FF1F497D"/>
      <name val="Cambria"/>
      <family val="1"/>
      <scheme val="major"/>
    </font>
  </fonts>
  <fills count="5">
    <fill>
      <patternFill patternType="none"/>
    </fill>
    <fill>
      <patternFill patternType="gray125"/>
    </fill>
    <fill>
      <patternFill patternType="solid">
        <fgColor indexed="11"/>
        <bgColor indexed="9"/>
      </patternFill>
    </fill>
    <fill>
      <patternFill patternType="solid">
        <fgColor indexed="15"/>
        <bgColor indexed="9"/>
      </patternFill>
    </fill>
    <fill>
      <patternFill patternType="solid">
        <fgColor theme="8" tint="0.79998168889431442"/>
        <bgColor indexed="65"/>
      </patternFill>
    </fill>
  </fills>
  <borders count="5">
    <border>
      <left/>
      <right/>
      <top/>
      <bottom/>
      <diagonal/>
    </border>
    <border>
      <left/>
      <right/>
      <top/>
      <bottom style="thin">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s>
  <cellStyleXfs count="3">
    <xf numFmtId="0" fontId="0" fillId="0" borderId="0"/>
    <xf numFmtId="0" fontId="3" fillId="4" borderId="0" applyNumberFormat="0" applyBorder="0" applyAlignment="0" applyProtection="0"/>
    <xf numFmtId="0" fontId="10" fillId="0" borderId="0" applyNumberFormat="0" applyFill="0" applyBorder="0" applyAlignment="0" applyProtection="0"/>
  </cellStyleXfs>
  <cellXfs count="26">
    <xf numFmtId="0" fontId="0" fillId="0" borderId="0" xfId="0"/>
    <xf numFmtId="0" fontId="2" fillId="0" borderId="0" xfId="0" applyFont="1"/>
    <xf numFmtId="11" fontId="0" fillId="0" borderId="0" xfId="0" applyNumberFormat="1"/>
    <xf numFmtId="0" fontId="0" fillId="0" borderId="0" xfId="0" quotePrefix="1"/>
    <xf numFmtId="0" fontId="4" fillId="0" borderId="0" xfId="0" applyFont="1"/>
    <xf numFmtId="0" fontId="5" fillId="0" borderId="0" xfId="0" applyFont="1"/>
    <xf numFmtId="0" fontId="6" fillId="0" borderId="0" xfId="0" applyFont="1" applyAlignment="1">
      <alignment horizontal="center"/>
    </xf>
    <xf numFmtId="0" fontId="5" fillId="0" borderId="0" xfId="0" applyFont="1" applyAlignment="1"/>
    <xf numFmtId="164" fontId="5" fillId="2" borderId="0" xfId="0" applyNumberFormat="1" applyFont="1" applyFill="1"/>
    <xf numFmtId="11" fontId="5" fillId="2" borderId="0" xfId="0" applyNumberFormat="1" applyFont="1" applyFill="1"/>
    <xf numFmtId="0" fontId="5" fillId="2" borderId="0" xfId="0" applyFont="1" applyFill="1"/>
    <xf numFmtId="0" fontId="5" fillId="2" borderId="1" xfId="0" applyFont="1" applyFill="1" applyBorder="1"/>
    <xf numFmtId="3" fontId="5" fillId="0" borderId="0" xfId="0" applyNumberFormat="1" applyFont="1" applyFill="1" applyAlignment="1"/>
    <xf numFmtId="3" fontId="5" fillId="2" borderId="0" xfId="0" applyNumberFormat="1" applyFont="1" applyFill="1"/>
    <xf numFmtId="2" fontId="5" fillId="3" borderId="0" xfId="0" applyNumberFormat="1" applyFont="1" applyFill="1" applyAlignment="1"/>
    <xf numFmtId="0" fontId="7" fillId="0" borderId="0" xfId="0" applyFont="1"/>
    <xf numFmtId="0" fontId="9" fillId="0" borderId="0" xfId="0" applyFont="1" applyAlignment="1">
      <alignment horizontal="center"/>
    </xf>
    <xf numFmtId="0" fontId="11" fillId="0" borderId="0" xfId="2" applyFont="1" applyAlignment="1">
      <alignment horizontal="center" vertical="center"/>
    </xf>
    <xf numFmtId="0" fontId="4" fillId="0" borderId="0" xfId="0" applyFont="1" applyAlignment="1">
      <alignment wrapText="1"/>
    </xf>
    <xf numFmtId="0" fontId="5" fillId="0" borderId="0" xfId="0" applyFont="1" applyAlignment="1">
      <alignment wrapText="1"/>
    </xf>
    <xf numFmtId="0" fontId="5" fillId="0" borderId="0" xfId="0" applyNumberFormat="1" applyFont="1" applyAlignment="1">
      <alignment wrapText="1"/>
    </xf>
    <xf numFmtId="0" fontId="7" fillId="0" borderId="0" xfId="0" applyFont="1" applyAlignment="1">
      <alignment wrapText="1"/>
    </xf>
    <xf numFmtId="0" fontId="12" fillId="0" borderId="0" xfId="0" applyFont="1"/>
    <xf numFmtId="0" fontId="8" fillId="4" borderId="2" xfId="1" applyFont="1" applyBorder="1" applyAlignment="1">
      <alignment horizontal="left" vertical="center"/>
    </xf>
    <xf numFmtId="0" fontId="8" fillId="4" borderId="3" xfId="1" applyFont="1" applyBorder="1" applyAlignment="1">
      <alignment horizontal="left" vertical="center"/>
    </xf>
    <xf numFmtId="0" fontId="8" fillId="4" borderId="4" xfId="1" applyFont="1" applyBorder="1" applyAlignment="1">
      <alignment horizontal="left" vertical="center"/>
    </xf>
  </cellXfs>
  <cellStyles count="3">
    <cellStyle name="20% - Accent5" xfId="1" builtinId="46"/>
    <cellStyle name="Hyperlink" xfId="2" builtinId="8"/>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23</xdr:row>
          <xdr:rowOff>95250</xdr:rowOff>
        </xdr:from>
        <xdr:to>
          <xdr:col>2</xdr:col>
          <xdr:colOff>1419225</xdr:colOff>
          <xdr:row>25</xdr:row>
          <xdr:rowOff>19050</xdr:rowOff>
        </xdr:to>
        <xdr:sp macro="" textlink="">
          <xdr:nvSpPr>
            <xdr:cNvPr id="2077" name="CommandButtonRun"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1504950</xdr:colOff>
          <xdr:row>23</xdr:row>
          <xdr:rowOff>104775</xdr:rowOff>
        </xdr:from>
        <xdr:to>
          <xdr:col>3</xdr:col>
          <xdr:colOff>981075</xdr:colOff>
          <xdr:row>25</xdr:row>
          <xdr:rowOff>28575</xdr:rowOff>
        </xdr:to>
        <xdr:sp macro="" textlink="">
          <xdr:nvSpPr>
            <xdr:cNvPr id="2078" name="CommandButtonInputs"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23</xdr:row>
          <xdr:rowOff>114300</xdr:rowOff>
        </xdr:from>
        <xdr:to>
          <xdr:col>5</xdr:col>
          <xdr:colOff>561975</xdr:colOff>
          <xdr:row>25</xdr:row>
          <xdr:rowOff>38100</xdr:rowOff>
        </xdr:to>
        <xdr:sp macro="" textlink="">
          <xdr:nvSpPr>
            <xdr:cNvPr id="2079" name="CommandButtonOutput" hidden="1">
              <a:extLst>
                <a:ext uri="{63B3BB69-23CF-44E3-9099-C40C66FF867C}">
                  <a14:compatExt spid="_x0000_s2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23</xdr:row>
          <xdr:rowOff>114300</xdr:rowOff>
        </xdr:from>
        <xdr:to>
          <xdr:col>7</xdr:col>
          <xdr:colOff>9525</xdr:colOff>
          <xdr:row>25</xdr:row>
          <xdr:rowOff>38100</xdr:rowOff>
        </xdr:to>
        <xdr:sp macro="" textlink="">
          <xdr:nvSpPr>
            <xdr:cNvPr id="2080" name="CommandButtonTestPoints"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23</xdr:row>
          <xdr:rowOff>114300</xdr:rowOff>
        </xdr:from>
        <xdr:to>
          <xdr:col>8</xdr:col>
          <xdr:colOff>685800</xdr:colOff>
          <xdr:row>25</xdr:row>
          <xdr:rowOff>38100</xdr:rowOff>
        </xdr:to>
        <xdr:sp macro="" textlink="">
          <xdr:nvSpPr>
            <xdr:cNvPr id="2081" name="CommandButtonClear"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8</xdr:col>
          <xdr:colOff>695325</xdr:colOff>
          <xdr:row>27</xdr:row>
          <xdr:rowOff>38100</xdr:rowOff>
        </xdr:to>
        <xdr:sp macro="" textlink="">
          <xdr:nvSpPr>
            <xdr:cNvPr id="2083" name="CommandButtonNext"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25</xdr:row>
          <xdr:rowOff>161925</xdr:rowOff>
        </xdr:from>
        <xdr:to>
          <xdr:col>7</xdr:col>
          <xdr:colOff>28575</xdr:colOff>
          <xdr:row>27</xdr:row>
          <xdr:rowOff>38100</xdr:rowOff>
        </xdr:to>
        <xdr:sp macro="" textlink="">
          <xdr:nvSpPr>
            <xdr:cNvPr id="2084" name="CommandButtonPrev"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xdr:twoCellAnchor editAs="oneCell">
    <xdr:from>
      <xdr:col>5</xdr:col>
      <xdr:colOff>447675</xdr:colOff>
      <xdr:row>3</xdr:row>
      <xdr:rowOff>142875</xdr:rowOff>
    </xdr:from>
    <xdr:to>
      <xdr:col>6</xdr:col>
      <xdr:colOff>904875</xdr:colOff>
      <xdr:row>13</xdr:row>
      <xdr:rowOff>47625</xdr:rowOff>
    </xdr:to>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10100" y="714375"/>
          <a:ext cx="1247775" cy="1828800"/>
        </a:xfrm>
        <a:prstGeom prst="rect">
          <a:avLst/>
        </a:prstGeom>
      </xdr:spPr>
    </xdr:pic>
    <xdr:clientData/>
  </xdr:twoCellAnchor>
  <xdr:twoCellAnchor>
    <xdr:from>
      <xdr:col>5</xdr:col>
      <xdr:colOff>238124</xdr:colOff>
      <xdr:row>15</xdr:row>
      <xdr:rowOff>123825</xdr:rowOff>
    </xdr:from>
    <xdr:to>
      <xdr:col>8</xdr:col>
      <xdr:colOff>647699</xdr:colOff>
      <xdr:row>21</xdr:row>
      <xdr:rowOff>152400</xdr:rowOff>
    </xdr:to>
    <xdr:sp macro="" textlink="">
      <xdr:nvSpPr>
        <xdr:cNvPr id="11" name="Rounded Rectangular Callout 10" descr="dff37549-92c3-448f-a81c-cebde047c78d"/>
        <xdr:cNvSpPr/>
      </xdr:nvSpPr>
      <xdr:spPr bwMode="auto">
        <a:xfrm>
          <a:off x="4400549" y="3000375"/>
          <a:ext cx="3228975" cy="1181100"/>
        </a:xfrm>
        <a:prstGeom prst="wedgeRoundRectCallout">
          <a:avLst>
            <a:gd name="adj1" fmla="val -20817"/>
            <a:gd name="adj2" fmla="val 46680"/>
            <a:gd name="adj3" fmla="val 16667"/>
          </a:avLst>
        </a:prstGeom>
        <a:solidFill>
          <a:schemeClr val="accent3">
            <a:lumMod val="40000"/>
            <a:lumOff val="60000"/>
          </a:schemeClr>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0" tIns="0" rIns="0" bIns="0" rtlCol="0" anchor="ctr" upright="1"/>
        <a:lstStyle/>
        <a:p>
          <a:pPr algn="ctr"/>
          <a:r>
            <a:rPr lang="en-US" sz="1200" b="1" i="0" u="none" strike="noStrike">
              <a:effectLst/>
              <a:latin typeface="+mn-lt"/>
              <a:ea typeface="+mn-ea"/>
              <a:cs typeface="+mn-cs"/>
            </a:rPr>
            <a:t>Tornado Analysis DevKit Example</a:t>
          </a:r>
        </a:p>
        <a:p>
          <a:pPr algn="ctr"/>
          <a:r>
            <a:rPr lang="en-US" sz="1050"/>
            <a:t> </a:t>
          </a:r>
        </a:p>
        <a:p>
          <a:pPr algn="l"/>
          <a:r>
            <a:rPr lang="en-US" sz="1050" b="0" i="0">
              <a:solidFill>
                <a:sysClr val="windowText" lastClr="000000"/>
              </a:solidFill>
            </a:rPr>
            <a:t>This sample illustrates how to use the Crystal Ball Developer Kit to automate</a:t>
          </a:r>
          <a:r>
            <a:rPr lang="en-US" sz="1050" b="0" i="0" baseline="0">
              <a:solidFill>
                <a:sysClr val="windowText" lastClr="000000"/>
              </a:solidFill>
            </a:rPr>
            <a:t> a tornado analysis</a:t>
          </a:r>
          <a:r>
            <a:rPr lang="en-US" sz="1050" b="0" i="0">
              <a:solidFill>
                <a:sysClr val="windowText" lastClr="000000"/>
              </a:solidFill>
            </a:rPr>
            <a:t>. Use other buttons to show relevant tornado information. The source code is located inside 'ThisWorkbook' section.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B1:C11"/>
  <sheetViews>
    <sheetView showGridLines="0" showRowColHeaders="0" workbookViewId="0"/>
  </sheetViews>
  <sheetFormatPr defaultRowHeight="15" x14ac:dyDescent="0.25"/>
  <cols>
    <col min="1" max="1" width="9.140625" style="5"/>
    <col min="2" max="2" width="99.28515625" style="19" customWidth="1"/>
    <col min="3" max="16384" width="9.140625" style="5"/>
  </cols>
  <sheetData>
    <row r="1" spans="2:3" ht="22.5" x14ac:dyDescent="0.3">
      <c r="B1" s="21" t="s">
        <v>23</v>
      </c>
      <c r="C1" s="22"/>
    </row>
    <row r="2" spans="2:3" ht="15.75" customHeight="1" x14ac:dyDescent="0.3">
      <c r="B2" s="21"/>
      <c r="C2" s="22"/>
    </row>
    <row r="3" spans="2:3" x14ac:dyDescent="0.25">
      <c r="B3" s="18" t="s">
        <v>20</v>
      </c>
    </row>
    <row r="4" spans="2:3" x14ac:dyDescent="0.25">
      <c r="B4" s="19" t="s">
        <v>51</v>
      </c>
    </row>
    <row r="6" spans="2:3" x14ac:dyDescent="0.25">
      <c r="B6" s="18" t="s">
        <v>21</v>
      </c>
    </row>
    <row r="7" spans="2:3" ht="75" x14ac:dyDescent="0.25">
      <c r="B7" s="20" t="s">
        <v>24</v>
      </c>
    </row>
    <row r="8" spans="2:3" x14ac:dyDescent="0.25">
      <c r="B8" s="20"/>
    </row>
    <row r="9" spans="2:3" x14ac:dyDescent="0.25">
      <c r="B9" s="18" t="s">
        <v>48</v>
      </c>
    </row>
    <row r="10" spans="2:3" x14ac:dyDescent="0.25">
      <c r="B10" s="18"/>
    </row>
    <row r="11" spans="2:3" ht="75" x14ac:dyDescent="0.25">
      <c r="B11" s="18" t="s">
        <v>49</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4"/>
  <sheetViews>
    <sheetView workbookViewId="0"/>
  </sheetViews>
  <sheetFormatPr defaultRowHeight="12.75" x14ac:dyDescent="0.2"/>
  <cols>
    <col min="1" max="2" width="36.7109375" customWidth="1"/>
  </cols>
  <sheetData>
    <row r="1" spans="1:3" x14ac:dyDescent="0.2">
      <c r="A1" s="1" t="s">
        <v>25</v>
      </c>
    </row>
    <row r="3" spans="1:3" x14ac:dyDescent="0.2">
      <c r="A3" t="s">
        <v>26</v>
      </c>
      <c r="B3" t="s">
        <v>27</v>
      </c>
      <c r="C3">
        <v>0</v>
      </c>
    </row>
    <row r="4" spans="1:3" x14ac:dyDescent="0.2">
      <c r="A4" t="s">
        <v>28</v>
      </c>
    </row>
    <row r="5" spans="1:3" x14ac:dyDescent="0.2">
      <c r="A5" t="s">
        <v>29</v>
      </c>
    </row>
    <row r="7" spans="1:3" x14ac:dyDescent="0.2">
      <c r="A7" s="1" t="s">
        <v>30</v>
      </c>
      <c r="B7" t="s">
        <v>31</v>
      </c>
    </row>
    <row r="8" spans="1:3" x14ac:dyDescent="0.2">
      <c r="B8">
        <v>2</v>
      </c>
    </row>
    <row r="10" spans="1:3" x14ac:dyDescent="0.2">
      <c r="A10" t="s">
        <v>32</v>
      </c>
    </row>
    <row r="11" spans="1:3" x14ac:dyDescent="0.2">
      <c r="A11" t="e">
        <f>CB_DATA_!#REF!</f>
        <v>#REF!</v>
      </c>
      <c r="B11" t="e">
        <f>Model!#REF!</f>
        <v>#REF!</v>
      </c>
    </row>
    <row r="13" spans="1:3" x14ac:dyDescent="0.2">
      <c r="A13" t="s">
        <v>33</v>
      </c>
    </row>
    <row r="14" spans="1:3" x14ac:dyDescent="0.2">
      <c r="A14" t="s">
        <v>45</v>
      </c>
      <c r="B14" s="2" t="s">
        <v>37</v>
      </c>
    </row>
    <row r="16" spans="1:3" x14ac:dyDescent="0.2">
      <c r="A16" t="s">
        <v>34</v>
      </c>
    </row>
    <row r="19" spans="1:2" x14ac:dyDescent="0.2">
      <c r="A19" t="s">
        <v>35</v>
      </c>
    </row>
    <row r="20" spans="1:2" x14ac:dyDescent="0.2">
      <c r="A20">
        <v>28</v>
      </c>
      <c r="B20">
        <v>34</v>
      </c>
    </row>
    <row r="25" spans="1:2" x14ac:dyDescent="0.2">
      <c r="A25" s="1" t="s">
        <v>36</v>
      </c>
    </row>
    <row r="26" spans="1:2" x14ac:dyDescent="0.2">
      <c r="A26" s="3" t="s">
        <v>38</v>
      </c>
      <c r="B26" s="3" t="s">
        <v>38</v>
      </c>
    </row>
    <row r="27" spans="1:2" x14ac:dyDescent="0.2">
      <c r="A27" t="s">
        <v>46</v>
      </c>
      <c r="B27" t="s">
        <v>39</v>
      </c>
    </row>
    <row r="28" spans="1:2" x14ac:dyDescent="0.2">
      <c r="A28" s="3" t="s">
        <v>40</v>
      </c>
      <c r="B28" s="3" t="s">
        <v>40</v>
      </c>
    </row>
    <row r="29" spans="1:2" x14ac:dyDescent="0.2">
      <c r="B29" s="3" t="s">
        <v>41</v>
      </c>
    </row>
    <row r="30" spans="1:2" x14ac:dyDescent="0.2">
      <c r="B30" t="s">
        <v>50</v>
      </c>
    </row>
    <row r="31" spans="1:2" x14ac:dyDescent="0.2">
      <c r="B31" s="3" t="s">
        <v>40</v>
      </c>
    </row>
    <row r="32" spans="1:2" x14ac:dyDescent="0.2">
      <c r="B32" s="3" t="s">
        <v>42</v>
      </c>
    </row>
    <row r="33" spans="2:2" x14ac:dyDescent="0.2">
      <c r="B33" t="s">
        <v>43</v>
      </c>
    </row>
    <row r="34" spans="2:2" x14ac:dyDescent="0.2">
      <c r="B34" s="3" t="s">
        <v>44</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50"/>
  <sheetViews>
    <sheetView showGridLines="0" tabSelected="1" workbookViewId="0"/>
  </sheetViews>
  <sheetFormatPr defaultRowHeight="15" x14ac:dyDescent="0.25"/>
  <cols>
    <col min="1" max="1" width="4.5703125" style="5" customWidth="1"/>
    <col min="2" max="2" width="2.5703125" style="5" customWidth="1"/>
    <col min="3" max="3" width="28.7109375" style="5" customWidth="1"/>
    <col min="4" max="4" width="16.42578125" style="5" bestFit="1" customWidth="1"/>
    <col min="5" max="5" width="11.7109375" style="6" customWidth="1"/>
    <col min="6" max="6" width="11.85546875" style="5" bestFit="1" customWidth="1"/>
    <col min="7" max="7" width="18.42578125" style="5" bestFit="1" customWidth="1"/>
    <col min="8" max="8" width="12" style="5" bestFit="1" customWidth="1"/>
    <col min="9" max="9" width="12.140625" style="5" bestFit="1" customWidth="1"/>
    <col min="10" max="10" width="12" style="5" bestFit="1" customWidth="1"/>
    <col min="11" max="16384" width="9.140625" style="5"/>
  </cols>
  <sheetData>
    <row r="1" spans="1:7" ht="22.5" customHeight="1" x14ac:dyDescent="0.3">
      <c r="A1" s="15"/>
      <c r="B1" s="15" t="s">
        <v>22</v>
      </c>
      <c r="G1" s="17" t="s">
        <v>47</v>
      </c>
    </row>
    <row r="2" spans="1:7" ht="7.5" customHeight="1" x14ac:dyDescent="0.25">
      <c r="A2" s="7"/>
    </row>
    <row r="3" spans="1:7" x14ac:dyDescent="0.25">
      <c r="A3" s="7"/>
    </row>
    <row r="4" spans="1:7" ht="15.75" x14ac:dyDescent="0.25">
      <c r="B4" s="23" t="s">
        <v>0</v>
      </c>
      <c r="C4" s="24"/>
      <c r="D4" s="25"/>
      <c r="E4" s="16" t="s">
        <v>1</v>
      </c>
    </row>
    <row r="5" spans="1:7" x14ac:dyDescent="0.25">
      <c r="C5" s="5" t="s">
        <v>2</v>
      </c>
      <c r="D5" s="8">
        <v>0.15</v>
      </c>
      <c r="E5" s="6" t="s">
        <v>3</v>
      </c>
    </row>
    <row r="6" spans="1:7" x14ac:dyDescent="0.25">
      <c r="C6" s="5" t="s">
        <v>4</v>
      </c>
      <c r="D6" s="8">
        <v>0.8</v>
      </c>
      <c r="E6" s="6" t="s">
        <v>3</v>
      </c>
    </row>
    <row r="7" spans="1:7" x14ac:dyDescent="0.25">
      <c r="C7" s="5" t="s">
        <v>5</v>
      </c>
      <c r="D7" s="9">
        <v>11500000</v>
      </c>
      <c r="E7" s="6" t="s">
        <v>3</v>
      </c>
    </row>
    <row r="8" spans="1:7" x14ac:dyDescent="0.25">
      <c r="C8" s="5" t="s">
        <v>6</v>
      </c>
      <c r="D8" s="10">
        <v>20</v>
      </c>
      <c r="E8" s="6" t="s">
        <v>3</v>
      </c>
    </row>
    <row r="9" spans="1:7" x14ac:dyDescent="0.25">
      <c r="C9" s="5" t="s">
        <v>7</v>
      </c>
      <c r="D9" s="11">
        <v>0.95</v>
      </c>
      <c r="E9" s="6" t="s">
        <v>3</v>
      </c>
    </row>
    <row r="10" spans="1:7" x14ac:dyDescent="0.25">
      <c r="B10" s="4" t="s">
        <v>8</v>
      </c>
      <c r="D10" s="12">
        <f>(1+Wire_Dia/(2*Coil_Dia))*Wire_Dia*Elasticity*Deflection/(PI()*Coil_Dia^2*Number_of_Coils)</f>
        <v>44572.903831613876</v>
      </c>
    </row>
    <row r="12" spans="1:7" ht="15.75" x14ac:dyDescent="0.25">
      <c r="B12" s="23" t="s">
        <v>9</v>
      </c>
      <c r="C12" s="24"/>
      <c r="D12" s="25"/>
    </row>
    <row r="13" spans="1:7" x14ac:dyDescent="0.25">
      <c r="C13" s="5" t="s">
        <v>10</v>
      </c>
      <c r="D13" s="13">
        <v>50000</v>
      </c>
      <c r="E13" s="6" t="s">
        <v>11</v>
      </c>
    </row>
    <row r="14" spans="1:7" x14ac:dyDescent="0.25">
      <c r="C14" s="5" t="s">
        <v>12</v>
      </c>
      <c r="D14" s="13">
        <v>50000</v>
      </c>
      <c r="E14" s="6" t="s">
        <v>13</v>
      </c>
    </row>
    <row r="15" spans="1:7" x14ac:dyDescent="0.25">
      <c r="C15" s="5" t="s">
        <v>14</v>
      </c>
      <c r="D15" s="13">
        <v>50000</v>
      </c>
      <c r="E15" s="6" t="s">
        <v>15</v>
      </c>
    </row>
    <row r="17" spans="1:14" ht="15.75" x14ac:dyDescent="0.25">
      <c r="B17" s="23" t="s">
        <v>16</v>
      </c>
      <c r="C17" s="24"/>
      <c r="D17" s="25"/>
    </row>
    <row r="18" spans="1:14" x14ac:dyDescent="0.25">
      <c r="C18" s="5" t="s">
        <v>17</v>
      </c>
      <c r="D18" s="14">
        <f>Material_1_Strength/Stress</f>
        <v>1.1217577429751591</v>
      </c>
      <c r="E18" s="5"/>
    </row>
    <row r="19" spans="1:14" x14ac:dyDescent="0.25">
      <c r="C19" s="5" t="s">
        <v>18</v>
      </c>
      <c r="D19" s="14">
        <f>Material_2_Strength/Stress</f>
        <v>1.1217577429751591</v>
      </c>
      <c r="E19" s="5"/>
    </row>
    <row r="20" spans="1:14" x14ac:dyDescent="0.25">
      <c r="C20" s="5" t="s">
        <v>19</v>
      </c>
      <c r="D20" s="14">
        <f>Material_3_Strength/Stress</f>
        <v>1.1217577429751591</v>
      </c>
      <c r="E20" s="5"/>
    </row>
    <row r="21" spans="1:14" x14ac:dyDescent="0.25">
      <c r="E21" s="5"/>
    </row>
    <row r="22" spans="1:14" x14ac:dyDescent="0.25">
      <c r="E22" s="5"/>
    </row>
    <row r="23" spans="1:14" x14ac:dyDescent="0.25">
      <c r="E23" s="5"/>
    </row>
    <row r="25" spans="1:14" s="4" customFormat="1" x14ac:dyDescent="0.25">
      <c r="A25"/>
      <c r="B25"/>
      <c r="C25"/>
      <c r="D25"/>
      <c r="E25"/>
      <c r="F25"/>
      <c r="G25"/>
      <c r="H25"/>
      <c r="I25"/>
      <c r="J25"/>
      <c r="K25"/>
      <c r="L25"/>
      <c r="M25"/>
      <c r="N25"/>
    </row>
    <row r="26" spans="1:14" x14ac:dyDescent="0.25">
      <c r="A26"/>
      <c r="B26"/>
      <c r="C26"/>
      <c r="D26"/>
      <c r="E26"/>
      <c r="F26"/>
      <c r="G26"/>
      <c r="H26"/>
      <c r="I26"/>
      <c r="J26"/>
      <c r="K26"/>
      <c r="L26"/>
      <c r="M26"/>
      <c r="N26"/>
    </row>
    <row r="27" spans="1:14" x14ac:dyDescent="0.25">
      <c r="A27"/>
      <c r="B27"/>
      <c r="C27"/>
      <c r="D27"/>
      <c r="E27"/>
      <c r="F27"/>
      <c r="G27"/>
      <c r="H27"/>
      <c r="I27"/>
      <c r="J27"/>
      <c r="K27"/>
      <c r="L27"/>
      <c r="M27"/>
      <c r="N27"/>
    </row>
    <row r="28" spans="1:14" s="4" customFormat="1" x14ac:dyDescent="0.25">
      <c r="A28"/>
      <c r="B28"/>
      <c r="C28"/>
      <c r="D28"/>
      <c r="E28"/>
      <c r="F28"/>
      <c r="G28"/>
      <c r="H28"/>
      <c r="I28"/>
      <c r="J28"/>
      <c r="K28"/>
      <c r="L28"/>
      <c r="M28"/>
      <c r="N28"/>
    </row>
    <row r="29" spans="1:14" s="4" customFormat="1" x14ac:dyDescent="0.25">
      <c r="A29"/>
      <c r="B29"/>
      <c r="C29"/>
      <c r="D29"/>
      <c r="E29"/>
      <c r="F29"/>
      <c r="G29"/>
      <c r="H29"/>
      <c r="I29"/>
      <c r="J29"/>
      <c r="K29"/>
      <c r="L29"/>
      <c r="M29"/>
      <c r="N29"/>
    </row>
    <row r="30" spans="1:14" x14ac:dyDescent="0.25">
      <c r="A30"/>
      <c r="B30"/>
      <c r="C30"/>
      <c r="D30"/>
      <c r="E30"/>
      <c r="F30"/>
      <c r="G30"/>
      <c r="H30"/>
      <c r="I30"/>
      <c r="J30"/>
      <c r="K30"/>
      <c r="L30"/>
      <c r="M30"/>
      <c r="N30"/>
    </row>
    <row r="31" spans="1:14" x14ac:dyDescent="0.25">
      <c r="A31"/>
      <c r="B31"/>
      <c r="C31"/>
      <c r="D31"/>
      <c r="E31"/>
      <c r="F31"/>
      <c r="G31"/>
      <c r="H31"/>
      <c r="I31"/>
      <c r="J31"/>
      <c r="K31"/>
      <c r="L31"/>
      <c r="M31"/>
      <c r="N31"/>
    </row>
    <row r="32" spans="1:14" x14ac:dyDescent="0.25">
      <c r="A32"/>
      <c r="B32"/>
      <c r="C32"/>
      <c r="D32"/>
      <c r="E32"/>
      <c r="F32"/>
      <c r="G32"/>
      <c r="H32"/>
      <c r="I32"/>
      <c r="J32"/>
      <c r="K32"/>
      <c r="L32"/>
      <c r="M32"/>
      <c r="N32"/>
    </row>
    <row r="33" spans="1:14" x14ac:dyDescent="0.25">
      <c r="A33"/>
      <c r="B33"/>
      <c r="C33"/>
      <c r="D33"/>
      <c r="E33"/>
      <c r="F33"/>
      <c r="G33"/>
      <c r="H33"/>
      <c r="I33"/>
      <c r="J33"/>
      <c r="K33"/>
      <c r="L33"/>
      <c r="M33"/>
      <c r="N33"/>
    </row>
    <row r="34" spans="1:14" x14ac:dyDescent="0.25">
      <c r="A34"/>
      <c r="B34"/>
      <c r="C34"/>
      <c r="D34"/>
      <c r="E34"/>
      <c r="F34"/>
      <c r="G34"/>
      <c r="H34"/>
      <c r="I34"/>
      <c r="J34"/>
      <c r="K34"/>
      <c r="L34"/>
      <c r="M34"/>
      <c r="N34"/>
    </row>
    <row r="35" spans="1:14" x14ac:dyDescent="0.25">
      <c r="A35"/>
      <c r="B35"/>
      <c r="C35"/>
      <c r="D35"/>
      <c r="E35"/>
      <c r="F35"/>
      <c r="G35"/>
      <c r="H35"/>
      <c r="I35"/>
      <c r="J35"/>
      <c r="K35"/>
      <c r="L35"/>
      <c r="M35"/>
      <c r="N35"/>
    </row>
    <row r="36" spans="1:14" x14ac:dyDescent="0.25">
      <c r="A36"/>
      <c r="B36"/>
      <c r="C36"/>
      <c r="D36"/>
      <c r="E36"/>
      <c r="F36"/>
      <c r="G36"/>
      <c r="H36"/>
      <c r="I36"/>
      <c r="J36"/>
      <c r="K36"/>
      <c r="L36"/>
      <c r="M36"/>
      <c r="N36"/>
    </row>
    <row r="37" spans="1:14" x14ac:dyDescent="0.25">
      <c r="A37"/>
      <c r="B37"/>
      <c r="C37"/>
      <c r="D37"/>
      <c r="E37"/>
      <c r="F37"/>
      <c r="G37"/>
      <c r="H37"/>
      <c r="I37"/>
      <c r="J37"/>
      <c r="K37"/>
      <c r="L37"/>
      <c r="M37"/>
      <c r="N37"/>
    </row>
    <row r="38" spans="1:14" x14ac:dyDescent="0.25">
      <c r="A38"/>
      <c r="B38"/>
      <c r="C38"/>
      <c r="D38"/>
      <c r="E38"/>
      <c r="F38"/>
      <c r="G38"/>
      <c r="H38"/>
      <c r="I38"/>
      <c r="J38"/>
      <c r="K38"/>
      <c r="L38"/>
      <c r="M38"/>
      <c r="N38"/>
    </row>
    <row r="39" spans="1:14" x14ac:dyDescent="0.25">
      <c r="A39"/>
      <c r="B39"/>
      <c r="C39"/>
      <c r="D39"/>
      <c r="E39"/>
      <c r="F39"/>
      <c r="G39"/>
      <c r="H39"/>
      <c r="I39"/>
      <c r="J39"/>
      <c r="K39"/>
      <c r="L39"/>
      <c r="M39"/>
      <c r="N39"/>
    </row>
    <row r="40" spans="1:14" x14ac:dyDescent="0.25">
      <c r="A40"/>
      <c r="B40"/>
      <c r="C40"/>
      <c r="D40"/>
      <c r="E40"/>
      <c r="F40"/>
      <c r="G40"/>
      <c r="H40"/>
      <c r="I40"/>
      <c r="J40"/>
      <c r="K40"/>
      <c r="L40"/>
      <c r="M40"/>
      <c r="N40"/>
    </row>
    <row r="41" spans="1:14" x14ac:dyDescent="0.25">
      <c r="A41"/>
      <c r="B41"/>
      <c r="C41"/>
      <c r="D41"/>
      <c r="E41"/>
      <c r="F41"/>
      <c r="G41"/>
      <c r="H41"/>
      <c r="I41"/>
      <c r="J41"/>
      <c r="K41"/>
      <c r="L41"/>
      <c r="M41"/>
      <c r="N41"/>
    </row>
    <row r="42" spans="1:14" x14ac:dyDescent="0.25">
      <c r="A42"/>
      <c r="B42"/>
      <c r="C42"/>
      <c r="D42"/>
      <c r="E42"/>
      <c r="F42"/>
      <c r="G42"/>
      <c r="H42"/>
      <c r="I42"/>
      <c r="J42"/>
      <c r="K42"/>
      <c r="L42"/>
      <c r="M42"/>
      <c r="N42"/>
    </row>
    <row r="43" spans="1:14" x14ac:dyDescent="0.25">
      <c r="A43"/>
      <c r="B43"/>
      <c r="C43"/>
      <c r="D43"/>
      <c r="E43"/>
      <c r="F43"/>
      <c r="G43"/>
      <c r="H43"/>
      <c r="I43"/>
      <c r="J43"/>
      <c r="K43"/>
      <c r="L43"/>
      <c r="M43"/>
      <c r="N43"/>
    </row>
    <row r="44" spans="1:14" x14ac:dyDescent="0.25">
      <c r="A44"/>
      <c r="B44"/>
      <c r="C44"/>
      <c r="D44"/>
      <c r="E44"/>
      <c r="F44"/>
      <c r="G44"/>
      <c r="H44"/>
      <c r="I44"/>
      <c r="J44"/>
      <c r="K44"/>
      <c r="L44"/>
      <c r="M44"/>
      <c r="N44"/>
    </row>
    <row r="45" spans="1:14" x14ac:dyDescent="0.25">
      <c r="A45"/>
      <c r="B45"/>
      <c r="C45"/>
      <c r="D45"/>
      <c r="E45"/>
      <c r="F45"/>
      <c r="G45"/>
      <c r="H45"/>
      <c r="I45"/>
      <c r="J45"/>
      <c r="K45"/>
      <c r="L45"/>
      <c r="M45"/>
      <c r="N45"/>
    </row>
    <row r="46" spans="1:14" x14ac:dyDescent="0.25">
      <c r="A46"/>
      <c r="B46"/>
      <c r="C46"/>
      <c r="D46"/>
      <c r="E46"/>
      <c r="F46"/>
      <c r="G46"/>
      <c r="H46"/>
      <c r="I46"/>
      <c r="J46"/>
      <c r="K46"/>
      <c r="L46"/>
      <c r="M46"/>
      <c r="N46"/>
    </row>
    <row r="47" spans="1:14" x14ac:dyDescent="0.25">
      <c r="A47"/>
      <c r="B47"/>
      <c r="C47"/>
      <c r="D47"/>
      <c r="E47"/>
      <c r="F47"/>
      <c r="G47"/>
      <c r="H47"/>
      <c r="I47"/>
      <c r="J47"/>
      <c r="K47"/>
      <c r="L47"/>
      <c r="M47"/>
      <c r="N47"/>
    </row>
    <row r="48" spans="1:14" x14ac:dyDescent="0.25">
      <c r="A48"/>
      <c r="B48"/>
      <c r="C48"/>
      <c r="D48"/>
      <c r="E48"/>
      <c r="F48"/>
      <c r="G48"/>
      <c r="H48"/>
      <c r="I48"/>
      <c r="J48"/>
      <c r="K48"/>
      <c r="L48"/>
      <c r="M48"/>
      <c r="N48"/>
    </row>
    <row r="49" spans="1:14" x14ac:dyDescent="0.25">
      <c r="A49"/>
      <c r="B49"/>
      <c r="C49"/>
      <c r="D49"/>
      <c r="E49"/>
      <c r="F49"/>
      <c r="G49"/>
      <c r="H49"/>
      <c r="I49"/>
      <c r="J49"/>
      <c r="K49"/>
      <c r="L49"/>
      <c r="M49"/>
      <c r="N49"/>
    </row>
    <row r="50" spans="1:14" x14ac:dyDescent="0.25">
      <c r="A50"/>
      <c r="B50"/>
      <c r="C50"/>
      <c r="D50"/>
      <c r="E50"/>
      <c r="F50"/>
      <c r="G50"/>
      <c r="H50"/>
      <c r="I50"/>
      <c r="J50"/>
      <c r="K50"/>
      <c r="L50"/>
      <c r="M50"/>
      <c r="N50"/>
    </row>
  </sheetData>
  <mergeCells count="3">
    <mergeCell ref="B4:D4"/>
    <mergeCell ref="B12:D12"/>
    <mergeCell ref="B17:D17"/>
  </mergeCells>
  <phoneticPr fontId="0" type="noConversion"/>
  <hyperlinks>
    <hyperlink ref="G1" location="Description!A1" display="Learn about model"/>
  </hyperlinks>
  <printOptions gridLinesSet="0"/>
  <pageMargins left="0.75" right="0.75" top="1" bottom="1" header="0.5" footer="0.5"/>
  <pageSetup orientation="portrait" r:id="rId1"/>
  <headerFooter alignWithMargins="0">
    <oddHeader>&amp;F</oddHeader>
    <oddFooter>Page &amp;P</oddFooter>
  </headerFooter>
  <drawing r:id="rId2"/>
  <legacyDrawing r:id="rId3"/>
  <controls>
    <mc:AlternateContent xmlns:mc="http://schemas.openxmlformats.org/markup-compatibility/2006">
      <mc:Choice Requires="x14">
        <control shapeId="2084" r:id="rId4" name="CommandButtonPrev">
          <controlPr autoLine="0" r:id="rId5">
            <anchor moveWithCells="1">
              <from>
                <xdr:col>5</xdr:col>
                <xdr:colOff>657225</xdr:colOff>
                <xdr:row>25</xdr:row>
                <xdr:rowOff>161925</xdr:rowOff>
              </from>
              <to>
                <xdr:col>7</xdr:col>
                <xdr:colOff>28575</xdr:colOff>
                <xdr:row>27</xdr:row>
                <xdr:rowOff>38100</xdr:rowOff>
              </to>
            </anchor>
          </controlPr>
        </control>
      </mc:Choice>
      <mc:Fallback>
        <control shapeId="2084" r:id="rId4" name="CommandButtonPrev"/>
      </mc:Fallback>
    </mc:AlternateContent>
    <mc:AlternateContent xmlns:mc="http://schemas.openxmlformats.org/markup-compatibility/2006">
      <mc:Choice Requires="x14">
        <control shapeId="2083" r:id="rId6" name="CommandButtonNext">
          <controlPr autoLine="0" r:id="rId7">
            <anchor moveWithCells="1">
              <from>
                <xdr:col>7</xdr:col>
                <xdr:colOff>104775</xdr:colOff>
                <xdr:row>25</xdr:row>
                <xdr:rowOff>161925</xdr:rowOff>
              </from>
              <to>
                <xdr:col>8</xdr:col>
                <xdr:colOff>695325</xdr:colOff>
                <xdr:row>27</xdr:row>
                <xdr:rowOff>38100</xdr:rowOff>
              </to>
            </anchor>
          </controlPr>
        </control>
      </mc:Choice>
      <mc:Fallback>
        <control shapeId="2083" r:id="rId6" name="CommandButtonNext"/>
      </mc:Fallback>
    </mc:AlternateContent>
    <mc:AlternateContent xmlns:mc="http://schemas.openxmlformats.org/markup-compatibility/2006">
      <mc:Choice Requires="x14">
        <control shapeId="2081" r:id="rId8" name="CommandButtonClear">
          <controlPr autoLine="0" r:id="rId9">
            <anchor moveWithCells="1">
              <from>
                <xdr:col>7</xdr:col>
                <xdr:colOff>95250</xdr:colOff>
                <xdr:row>23</xdr:row>
                <xdr:rowOff>114300</xdr:rowOff>
              </from>
              <to>
                <xdr:col>8</xdr:col>
                <xdr:colOff>685800</xdr:colOff>
                <xdr:row>25</xdr:row>
                <xdr:rowOff>38100</xdr:rowOff>
              </to>
            </anchor>
          </controlPr>
        </control>
      </mc:Choice>
      <mc:Fallback>
        <control shapeId="2081" r:id="rId8" name="CommandButtonClear"/>
      </mc:Fallback>
    </mc:AlternateContent>
    <mc:AlternateContent xmlns:mc="http://schemas.openxmlformats.org/markup-compatibility/2006">
      <mc:Choice Requires="x14">
        <control shapeId="2080" r:id="rId10" name="CommandButtonTestPoints">
          <controlPr autoLine="0" r:id="rId11">
            <anchor moveWithCells="1">
              <from>
                <xdr:col>5</xdr:col>
                <xdr:colOff>638175</xdr:colOff>
                <xdr:row>23</xdr:row>
                <xdr:rowOff>114300</xdr:rowOff>
              </from>
              <to>
                <xdr:col>7</xdr:col>
                <xdr:colOff>9525</xdr:colOff>
                <xdr:row>25</xdr:row>
                <xdr:rowOff>38100</xdr:rowOff>
              </to>
            </anchor>
          </controlPr>
        </control>
      </mc:Choice>
      <mc:Fallback>
        <control shapeId="2080" r:id="rId10" name="CommandButtonTestPoints"/>
      </mc:Fallback>
    </mc:AlternateContent>
    <mc:AlternateContent xmlns:mc="http://schemas.openxmlformats.org/markup-compatibility/2006">
      <mc:Choice Requires="x14">
        <control shapeId="2079" r:id="rId12" name="CommandButtonOutput">
          <controlPr autoLine="0" r:id="rId13">
            <anchor moveWithCells="1">
              <from>
                <xdr:col>3</xdr:col>
                <xdr:colOff>1047750</xdr:colOff>
                <xdr:row>23</xdr:row>
                <xdr:rowOff>114300</xdr:rowOff>
              </from>
              <to>
                <xdr:col>5</xdr:col>
                <xdr:colOff>561975</xdr:colOff>
                <xdr:row>25</xdr:row>
                <xdr:rowOff>38100</xdr:rowOff>
              </to>
            </anchor>
          </controlPr>
        </control>
      </mc:Choice>
      <mc:Fallback>
        <control shapeId="2079" r:id="rId12" name="CommandButtonOutput"/>
      </mc:Fallback>
    </mc:AlternateContent>
    <mc:AlternateContent xmlns:mc="http://schemas.openxmlformats.org/markup-compatibility/2006">
      <mc:Choice Requires="x14">
        <control shapeId="2078" r:id="rId14" name="CommandButtonInputs">
          <controlPr autoLine="0" r:id="rId15">
            <anchor moveWithCells="1">
              <from>
                <xdr:col>2</xdr:col>
                <xdr:colOff>1504950</xdr:colOff>
                <xdr:row>23</xdr:row>
                <xdr:rowOff>104775</xdr:rowOff>
              </from>
              <to>
                <xdr:col>3</xdr:col>
                <xdr:colOff>981075</xdr:colOff>
                <xdr:row>25</xdr:row>
                <xdr:rowOff>28575</xdr:rowOff>
              </to>
            </anchor>
          </controlPr>
        </control>
      </mc:Choice>
      <mc:Fallback>
        <control shapeId="2078" r:id="rId14" name="CommandButtonInputs"/>
      </mc:Fallback>
    </mc:AlternateContent>
    <mc:AlternateContent xmlns:mc="http://schemas.openxmlformats.org/markup-compatibility/2006">
      <mc:Choice Requires="x14">
        <control shapeId="2077" r:id="rId16" name="CommandButtonRun">
          <controlPr autoLine="0" r:id="rId17">
            <anchor moveWithCells="1">
              <from>
                <xdr:col>2</xdr:col>
                <xdr:colOff>28575</xdr:colOff>
                <xdr:row>23</xdr:row>
                <xdr:rowOff>95250</xdr:rowOff>
              </from>
              <to>
                <xdr:col>2</xdr:col>
                <xdr:colOff>1419225</xdr:colOff>
                <xdr:row>25</xdr:row>
                <xdr:rowOff>19050</xdr:rowOff>
              </to>
            </anchor>
          </controlPr>
        </control>
      </mc:Choice>
      <mc:Fallback>
        <control shapeId="2077" r:id="rId16" name="CommandButtonRu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Description</vt:lpstr>
      <vt:lpstr>CB_DATA_</vt:lpstr>
      <vt:lpstr>Model</vt:lpstr>
      <vt:lpstr>Coil_Dia</vt:lpstr>
      <vt:lpstr>Deflection</vt:lpstr>
      <vt:lpstr>Elasticity</vt:lpstr>
      <vt:lpstr>Material_1_Strength</vt:lpstr>
      <vt:lpstr>Material_2_Strength</vt:lpstr>
      <vt:lpstr>Material_3_Strength</vt:lpstr>
      <vt:lpstr>Number_of_Coils</vt:lpstr>
      <vt:lpstr>Stress</vt:lpstr>
      <vt:lpstr>Wire_Dia</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of a Helical Spring</dc:title>
  <dc:creator>Crystal Ball</dc:creator>
  <cp:keywords>assumption, forecast, sensitivity chart, Tornado Chart tool, engineering, reliability</cp:keywords>
  <cp:lastModifiedBy>ewainwri</cp:lastModifiedBy>
  <cp:lastPrinted>2003-11-25T18:33:18Z</cp:lastPrinted>
  <dcterms:created xsi:type="dcterms:W3CDTF">1999-03-03T16:14:26Z</dcterms:created>
  <dcterms:modified xsi:type="dcterms:W3CDTF">2014-06-03T00:33:21Z</dcterms:modified>
  <cp:category>Engineering</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