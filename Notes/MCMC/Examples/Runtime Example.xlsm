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65" yWindow="240" windowWidth="18375" windowHeight="9345" firstSheet="1" activeTab="2"/>
  </bookViews>
  <sheets>
    <sheet name="CB_DATA_" sheetId="2" state="hidden" r:id="rId1"/>
    <sheet name="Description" sheetId="3" r:id="rId2"/>
    <sheet name="Model" sheetId="1" r:id="rId3"/>
  </sheets>
  <definedNames>
    <definedName name="CB_0c6b7e5902554d7f9c641a71a1f4171b" localSheetId="0" hidden="1">#N/A</definedName>
    <definedName name="CB_Block_00000000000000000000000000000000" localSheetId="0" hidden="1">"'7.0.0.0"</definedName>
    <definedName name="CB_Block_00000000000000000000000000000000" localSheetId="2" hidden="1">"'7.0.0.0"</definedName>
    <definedName name="CB_Block_00000000000000000000000000000001" localSheetId="0" hidden="1">"'635454341973195773"</definedName>
    <definedName name="CB_Block_00000000000000000000000000000001" localSheetId="2" hidden="1">"'635454341465925051"</definedName>
    <definedName name="CB_Block_00000000000000000000000000000003" localSheetId="0" hidden="1">"'11.1.4005.0"</definedName>
    <definedName name="CB_Block_00000000000000000000000000000003" localSheetId="2" hidden="1">"'11.1.4005.0"</definedName>
    <definedName name="CB_BlockExt_00000000000000000000000000000003" localSheetId="0" hidden="1">"'11.1.2.4.000"</definedName>
    <definedName name="CB_BlockExt_00000000000000000000000000000003" localSheetId="2" hidden="1">"'11.1.2.4.000"</definedName>
    <definedName name="CBWorkbookPriority" localSheetId="0" hidden="1">-527284963</definedName>
    <definedName name="CBx_bbaa5a3dfc034a93a92069328b421bf7" localSheetId="0" hidden="1">"'CB_DATA_'!$A$1"</definedName>
    <definedName name="CBx_d9637e998d4e44a7b4b5d9b8538360e7" localSheetId="0" hidden="1">"'Model'!$A$1"</definedName>
    <definedName name="CBx_Sheet_Guid" localSheetId="0" hidden="1">"'bbaa5a3d-fc03-4a93-a920-69328b421bf7"</definedName>
    <definedName name="CBx_Sheet_Guid" localSheetId="2" hidden="1">"'d9637e99-8d4e-44a7-b4b5-d9b8538360e7"</definedName>
    <definedName name="CBx_SheetRef" localSheetId="0" hidden="1">CB_DATA_!$A$14</definedName>
    <definedName name="CBx_SheetRef" localSheetId="2" hidden="1">CB_DATA_!$B$14</definedName>
    <definedName name="CBx_StorageType" localSheetId="0" hidden="1">2</definedName>
    <definedName name="CBx_StorageType" localSheetId="2" hidden="1">2</definedName>
    <definedName name="Sensitiv">Model!$F$8</definedName>
  </definedNames>
  <calcPr calcId="145621" concurrentCalc="0" concurrentManualCount="1"/>
</workbook>
</file>

<file path=xl/calcChain.xml><?xml version="1.0" encoding="utf-8"?>
<calcChain xmlns="http://schemas.openxmlformats.org/spreadsheetml/2006/main">
  <c r="B11" i="2" l="1"/>
  <c r="A11" i="2"/>
  <c r="F8" i="1"/>
  <c r="F7" i="1"/>
</calcChain>
</file>

<file path=xl/sharedStrings.xml><?xml version="1.0" encoding="utf-8"?>
<sst xmlns="http://schemas.openxmlformats.org/spreadsheetml/2006/main" count="63" uniqueCount="57">
  <si>
    <t>Mean</t>
  </si>
  <si>
    <t>Trials</t>
  </si>
  <si>
    <t>Median</t>
  </si>
  <si>
    <t>StdDev</t>
  </si>
  <si>
    <t>Variance</t>
  </si>
  <si>
    <t>Skew</t>
  </si>
  <si>
    <t>Kurtosis</t>
  </si>
  <si>
    <t>CV</t>
  </si>
  <si>
    <t>Min</t>
  </si>
  <si>
    <t>Max</t>
  </si>
  <si>
    <t>Width</t>
  </si>
  <si>
    <t>StdError</t>
  </si>
  <si>
    <t>This example:</t>
  </si>
  <si>
    <t>Assumption 1</t>
  </si>
  <si>
    <t>Assumption 2</t>
  </si>
  <si>
    <t>Assumption 3</t>
  </si>
  <si>
    <t>Forecast 1</t>
  </si>
  <si>
    <t>Forecast 2</t>
  </si>
  <si>
    <t>Forecast 2 Stats</t>
  </si>
  <si>
    <t>Certainty, F2, &lt; 590</t>
  </si>
  <si>
    <t>Certainty, F2, &gt; 590</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</si>
  <si>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</si>
  <si>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</si>
  <si>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</si>
  <si>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</si>
  <si>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</si>
  <si>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</si>
  <si>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</si>
  <si>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</si>
  <si>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</si>
  <si>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</si>
  <si>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</si>
  <si>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</si>
  <si>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bbaa5a3d-fc03-4a93-a920-69328b421bf7</t>
  </si>
  <si>
    <t>CB_Block_0</t>
  </si>
  <si>
    <t>Decisioneering:7.0.0.0</t>
  </si>
  <si>
    <t>Switches to the RuntimeMode</t>
  </si>
  <si>
    <t>Defines three assumptions</t>
  </si>
  <si>
    <t>Defines two forecasts</t>
  </si>
  <si>
    <t>Runs a simulation (100 trials)</t>
  </si>
  <si>
    <t>Gets forecast statistics</t>
  </si>
  <si>
    <t>Gets assumption percentiles</t>
  </si>
  <si>
    <t>Gets forecast percentiles</t>
  </si>
  <si>
    <t>Creates Sensitivity windows for forecasts</t>
  </si>
  <si>
    <t>d9637e99-8d4e-44a7-b4b5-d9b8538360e7</t>
  </si>
  <si>
    <t>Author</t>
  </si>
  <si>
    <t>Summary</t>
  </si>
  <si>
    <t xml:space="preserve">Application developers can use the current version of the Oracle Crystal Ball Developer Kit to create custom applications for others who are not skilled users of Crystal Ball. This feature is called Crystal Ball Runtime. 
When your custom application calls CB.RuntimeMode, the Crystal Ball ribbon is hidden. You can give users the ability to run, reset, and single-step through simulations by creating your own user interface controls with Visual Basic or VBA that call appropriate Crystal Ball Developer Kit subroutines and functions. You can also use the Crystal Ball Developer Kit macros to create controls that extract data, create charts and reports, and more.
When simulations run in Runtime mode, the Crystal Ball Control Panel is switched off by default. However, you can use Visual Basic or VBA to switch it on again using appropriate calls to CB.Simulation or CB.RunPrefsND. Even if the Control Panel dialog is displayed, though, the Run, Analyze, and Help menus are hidden.
Users can access Predictor if you use calls from the Predictor Developer Kit to access Predictor features. See the Oracle Crystal Ball Developer’s Guide, Appendix B, “Using the Predictor Developer Kit.”
This example file, Runtime Example.xlsm, is a very basic application written in VBA using the Crystal Ball Developer Kit. It shows how UI controls — in this case, buttons — can be created to operate a Crystal Ball Runtime application.
To understand the coding in Runtime Example.xlsm, Display the Microsoft Excel Developer ribbon and open Visual Basic. Then, in VBAProject (Runtime Example.xlsm), open the code for Module1. Comments within the code describe the actions of the code.  You can refer to the Oracle Crystal Ball Developer’s Guide for more information about the Crystal Ball macro calls and coding practices.
</t>
  </si>
  <si>
    <r>
      <t xml:space="preserve">Keywords: </t>
    </r>
    <r>
      <rPr>
        <sz val="11"/>
        <rFont val="Calibri"/>
        <family val="2"/>
        <scheme val="minor"/>
      </rPr>
      <t>macros, developer kit, coding, CB Runtime</t>
    </r>
  </si>
  <si>
    <t>CB_Block_11.1.1000.0:1</t>
  </si>
  <si>
    <t>Decisioneering:11.1.1000.0</t>
  </si>
  <si>
    <t>Learn about model</t>
  </si>
  <si>
    <r>
      <t>Copyright Information</t>
    </r>
    <r>
      <rPr>
        <sz val="11"/>
        <rFont val="Calibri"/>
        <family val="2"/>
        <scheme val="minor"/>
      </rPr>
      <t xml:space="preserve">
Copyright © 2004, 2015, Oracle and/or its affiliates. All rights reserved.
Oracle is a registered trademark of Oracle Corporation and/or its affiliates. Other names
may be trademarks of their respective owners.</t>
    </r>
  </si>
  <si>
    <r>
      <t>Crystal Ball</t>
    </r>
    <r>
      <rPr>
        <b/>
        <sz val="18"/>
        <color rgb="FF1F497D"/>
        <rFont val="Cambria"/>
        <family val="1"/>
        <scheme val="major"/>
      </rPr>
      <t xml:space="preserve"> Runtime  Example</t>
    </r>
  </si>
  <si>
    <t>Crystal Ball Team</t>
  </si>
  <si>
    <t>㜸〱敤㕣㕢㙣ㅣ搵ㄹ摥㔹敦慣㜷㝣㠹㑤㥣ぢ〹㤰㤸晢挵搱ㄲ㠷愴㐰㔱ㅡ㝣㠹㥤㐰㉥㑥搶〹㐵㤴㉥攳摤㌳昶㈴㍢戳㘶㘶搶㠹㈹㠵戴搰〲㙡㉢ち㤵慡㠲㘸㡢㔰㠵摡㤷㑡昰㠰愰愵て㤵㉡戵慡愰敡〳慡搴㠷㑡ㄴ㔵敤㐳慢㉡㔲愵㡡〷㈴晡㝤㘷㘶㜶㘷㜷扤㘳㘷〳慤㔳昹㌸晥㜳收摣收㥣昳㕦捦晦㥦㜱㐲㐹㈴ㄲㅦ㈳昱㝦愶ㄴ㌳㔷收ㄶ㕤㑦㔸搹戱㜲愹㈴ち㥥㔹戶摤散㠸攳攸㡢㠷㑣搷敢㐰㠳㜴摥㐴扤慢收㕤昳ㄱ㤱挹㉦〸挷㐵㈳㌵㤱挸㘴戴㈴敡㌹〸㝦晢挳〷㡤扤㝡㔲〰搳㘳愳㐷㘷㑥㘱搴㥣㔷㜶挴㡥挱㤳㝥摦扤挳挳搹攱散敥㥤㍢昷㘴㜷敥ㄸㅣ慢㤴扣㡡㈳昶摡愲攲㌹㝡㘹挷攰㔴㘵愶㘴ㄶ敥ㄵ㡢搳攵搳挲摥㉢㘶㜶摥㌶愳敦扥㘳㜸昷㥥㍤挶㥤㜷摥搱㠳㔷㈷㡥㡣㡤㑥㌹挲㜰㍦愱㌱㔵㑥㜹昷戸㈸㤸㕣㥢㄰㡥㘹捦㘶挷㐶昱㉦㌲㝦㍣摤㥥捤捤〹攱昱搵挲ㄱ㜶㐱戸ㅡ㍡㜶㕢㈳慥㕢戱收戹㜹㥡㌵㠱愵ㄶ㜴搷㔳慤㌱㔱㉡㘹㔶㌸㙡挶㍡㡡扤㉢改㡢㍤㔶㑥搸慥改㤹ぢ愶户㤸戶愶㌱㔰戱搷㍡攱㡡攳扡㍤㉢㡥攸㤶㔰慤挹㡡㔹㑣昹㈹搱㜱㘳㌸㐴㜴㘲㜲昹搹ㄱ搷ㅡ㥢搳ㅤ㌹㈳㤷ㅢㄳ搳㜶挲㈹搴户扤戶昵戸㥣扡㝣〳挷扣扥㜵㍢搴㥣搴㥤㙡换愱搶㉤㠳挵搷捦攰搶搶敤㈳㝢㔴摦攷收搶㝤攴㔶搶户㔶扡〳晡㤶㍢㡡挵㘸㘹㠲㑥㠲っ〱ㄱ愸㜵ㄱ㜴ㄳ昴〰㈸愹㝦㠱㑢愲ㅤ㔹㤵捣敢挹晣㑣㌲㕦㐸收㡢挹扣㐸收㡤㘴㝥㌶㤹㥦㑢收捤㘴晥㔴㌲㝦ㅡ㙤挲㤴改散㑣〶㘹挷户户㝦㌴昹晡愶搱㈷扥㍡晦摤㙢戶晦摢攸㔹㠷㐶挷㠲㐹㡤㍢晡ㄹ㤰㕡㡤㡡㜷㘵㜷昲㘷㜹慥〰㔳ㄸ㝢㡣摢㡤攱攱攲㥥㥤晡㙤扡捡㘵挵㈰扦㡥㔰晡搱戶挷戸捦戴㡢攵㌳ㄲ㜷㔷㡥敡慥愸㙤摣㔰㔰㌷㕡慥搸㐵昷㡡愵㉢㜳㥥敥㠹慤㡤㜵戵㐱㥡扡攵挰㔶挲㤵敦摢搶搸敤愴㕥慡㠸㤱戳愶㕦㝤㔵㐳戵㌵攵㤴㘷㕡搷㑥㌸攲攱㙡㙤搳㡣㐶㈰搴ㄶ攴搸㑤慢昴慢晣㜹つ㡥捤㤵㕤㘱换改つ㔹㔳㘶攱戴㜰㜲㠲㈲㔱ㄴ攵㔲㌷戲㉡攰晡愱愳㌶ㄶち㙥㉤㕥ㄳ㉤㌵昶㥦昵挰捣愲㠸昹捥ぢ挷㕢㥣搶㘷㑡㘲㔳㕤ㄳ晦㥤愸搸㔲㔷㍣㔱㉥㔴摣戱戲敤㌹攵㔲㝤捤㐸㜱㐱㠷愴㈹ㅥ㉥ㄷ㐵㉡㤵㤰㐲〱〲户愳㐳㔱ㄲ户戴收〵㠹㠸〸㡡挹挸㤷搷㤳㕤昶㌸㔶㠷㔵㤴〴㘹㌲㜹摤㌲㠳㜱扥㔲挶挴㜰㘰㘴㑤搴ㅦ㝣改㑤换っ㕢挵摣愷摢㌸㤹ㅣ〸㔶扦㝦㐱搸摥〱摤㉥㤶㠴ㄳ慢晤ㄴ捥㐸敢〳㔰捦㐳㈰戴摣㍤慡㍡攵慣戲愸㥥㌱㡢摥㕣㝡㑥㤸戳㜳ㅥ捡愰㈱㌳ㄹ㙥㙤㔳搲㉥㐳㤱戶㥥㘰〰愰慢㉢㤱摥挰㐶改㉥愴㠴㑡改ㄴ挳换㜵㠲㥣晤敡㜸戹挷㤸㌰㑢㥥昰㠵㜲㥦〱㡣昸㕡㑤愲慦㤷㈴敡攸〵㕦㘱㙣㌰挶㐰愵扡㘹㝢㡢㌵扥㙤攲ㄲ㥦㠸搶㘴挱慡㤳〵ㄴ〵昵昲㈰㠶搷㐰㌴つ搲㈰扥㜱㠴㠸挸〶㌱㥡ㅤ㈳搷ㄳㄹ摢挷挸〸戴㡦ㄲ㈱㕢敦㙣㉤㈳㐸散捤㐴捡㑥㉤昹㜱㑤㥡㉤㘵换晢搲㙣㈳㌶㑥摢㐴戰㤹攰㜲㠲㉤〰捡㕦㈱攱㈸攵㤰慦㑦摡ㄵ㜸搶慥㈴戸ち〰昲㐹愳捣〹㐴ㄵ㙤愸㤵搸㤱㙣搷ぢ㍢㔹ㅡ挵扥㈸愲㘵㕣戵㌳㝢㉤㠹攸挰敡㕣ㅤ扡㌶㈵㜵散つ慤㘹㌳扡ㅣ㔲㘴㑣搳攸㕡㤷㘹ㅡ摤〸㌶㙤㔳㙦㙤㐷㔷㙤㤰攰㙡〰㕦戱搰搸㕤㤹㌵㑦㜳昲㤲㌰㠹㝣㐳愸㑤攵ㅥ㄰㌱捤晦ㄸ〱搷㜴㜴㔹戳㥦㘹ちづㄹ㤷扣晤扣愳㌵㙦〷㐸㙦搰㤹㙢㍡㠷扥愲ぢ戴愰慦〱㝢㈹㝦㙡愹㕦慥㐳戵㜶㍤挱つ〰つ晡㠵㈷敦ぢ昵ㄲ㐸㤳搸㡡㘰㙥㍤㍤㉥搲挲㥤㕥㥣ㄷ㔲晢昴ㄸ搳扡㌳㉢㍣㜸㉦づ㡥挳づ㉥㍢㡥㈸攱㐰㕢㤴〵㍣扢㙣慥㉦㜴㈷㥣戲挵昲㌵晢搸扤㈴ㄴ㐳㉡㤵散㐸㌴搸挷㌱㜶㘶挴摦ㄴ愱ㅣ敡摦摢㕡ぢ㠹㐸愷㝡昲㘲扦昸戳攵㥡㈴㘹㐳㤲摣㠴㙤搵㙥〶㠰㤴㔰晥搰㔲愲っ戱搹づ搹慣摥㕡愵㜷㉦收㘴搲攰㍦㙣㤲㈳摤扥戳㜶ㄴ扥〳户搷捡㤹㔶㔵㔸㜴㕢㔳挲㈹挰慦㘰㤶㐴㤷敦㤲愵愸㔹㤳ㄵ㤷㠸慣攸攸㘸㍡㑢挷昸搶㈴㥤㌴㐸㠹㔸㙥㡦慤㡣㌹㠷搷㠸㡡㉥㐸ち㤵ㄸ户㔰㔵〲㤱昲搸㜶㑤挴戴㈱㘲戲搸㌸敤㔶㠲㥤〴挳〰敡敦㈰㘹㔶扡昱っ㠵㜵㉥搰㥤㥤捦㈷㌲㐴㠳㜴て扥摢㔲㔸敤收㙢昶㄰㝣〶愰挱晣愱昳㌱㠶㄰㈵捡㈳㠴㐸㙢㐹㌳㑥㥡攲っ㘹㘰㥤㠱愰搲㔸挵昵捡ㄶ愳㑡扤挶㜸昹㐸搹ㅢ㌷摤㜹㐴愱〶㡣㈰㜳摦㥣戰㐱㕤づ㙣㥦㠶戲昲晣扣㈸㙡㐶慥㕣㠱㘸㍢㌸扥ㅡづ攵㔸ㅦ㙣㐹㜹㉥㑦㉡㐸敤㥤㡤㌱㠴㈲㑦挴昰戵搲ㄳ扢㈲捦㌷て㝤㝤戵ㅤ㥤㌶扤㤲攸㌶㝣愶㘳㍥㘳㘰ㄷㄱ㌵㈸㜶ㅡ搳㜳㡥㄰攳扤挶愴㘳ㄶ㑢愶㉤㠸っ搸㤸っ搴ㅤㄲ戳㠸㄰㑣㤵ㄹ晦㉢摢扤挶戴愳摢敥扣捥㘰攲攲晡扡㈷ㄹㄲ㔱㡤㔱搳㜶昱ㅡ㠹㐵收晢㡣摣㕣昹っ愲戵ㄵ换㥥搴攷摤㔵㠱ㄵㄲ扤㥦㈴㙡㤴愴㤲㑣㉡㤹㘴愶㕤晣昰㐰㥥㐸散挲㙦㡡㐰攲㉡愱搲㕦ㅥ愳扤㘹搷〷昱ㄹ摡改㥣㔳て㈲㐷搵挲㡥㔸㈹㑣㑥搵敥㘰㥦㍢〱敥㤹㍣㜱戰ㄶ㤵扢愸㜸戵㑡て㝦㡣㡣㤷㘴㔱つ㠲搰㍦户捥㈷ㄵ㤶㤱㜲挰㠱挰㌸㥦ㅡ挹慦换㤰㙤㐸㝤敢㙡搹〹㐴㤱㝡㡣㐳晡㡣㈸㈱ㄶ㙤改摥㍡晦㠱㘶慣愵㤷摣愰㙥慣㙣㔹㍡㐹㡢㘴㤹㉢攸愴攰㤱㡡㔷㍥㙣摡㥡〱㈰改㉦㈸搲捦愲㐸㍦㉢㡢㝡㡣攳っぢ捡㍣挷㉡捦敡㡥改捤㔹㘶㈱挳〷㠶敥㔶〵㑤㠲挹㈹㜹挳ㄴ捡㡣挱〶㙢晥〴㑣㌶㌷ぢ㜴㘷㈱㐷戹㜵㐴㍦㈸㌷愹愴昱愳戴改㔸㠲㠰㤱㕥㔲敤㉥㡣愶捡㥢ㄱ㄰㌹㌲㥤て敦㕦㥣㝦ㅣ㈵扥㕦㡥㔸㡦㈱ㄱ㜸〴㈳㐲㥥敥敤戴㜱挲㌶㍤㘰㡦ㄸ㥢㌰扤㜱ㄷ㈸〷㐰㔶ㅥ㙦户㑡慣㐶㍡つ㔵戵挲昶收慡㍡㌵戱慤戹㍥慡㌷慥㕢愲摡搷㈸ㄱ㐵戲㕣㈳愹㔹㤶㤸攳㙡㔲㌵㡡㔴摣愱戶㔱攲摣愶戵㝤愷ㄴ戹〸挵㈴㘹㈶愱敤㤵㠴㠲㈰㉦愹〳㍡㡡晥晡㜸昲㠸㐴㙢㘸〳㜴㔱㑦昹㘵扤㐱㌸昰㈰慥㥣ㄴ㐵㔷昰〴晥㕥ㄷ㘴㡦㔶扣扡ㅡ晤散㐰㔰㌳㔲㉡ㅤ戵㘱㈵ㄴ㜴愷戸㑡㔸ㅡ㙢昳㌵㡣攴捥㜶戵扦扦扤ㄱ㐶っ搸㤰㈱㤱ㄸ㍦㌰搸㄰捣ㄵ㠹愶搲㍡敢攵㔶㔷㡢㌳㝣㍡㉣㜴㕢㘲㈰攷ㄵ挷挵㠲㌴挳㙡㤶晣㠰散㔰㍤㉤㑡㌹慡ㄹ㈳㌳㉥㔴扡㐷㌹ㅥ攴㈴㠳㙢挶㜱扡愵㜰㠱〱㘲㌷挸㑤ㄵ㍣㠴㜵慢〳昰㘴戰㝡戰㠳ㅤ昱挳㈶戴捥㈸㐱搳㌱㠴㕢扦〸昲㑥㥢ㄸ㠵㈰㌵㘴晡攷㍥攵挵ㄷ㤸㝥戲㉦ㄱ㘶〲㈶㘲愸㉢挶㝡〰㜲愳㔱㐹㜲搱㐰ㄸ㉣昷㈵㥢ㄴ㕡㍤㘱ㄹ㑤㡣㕥㥡㝣㡥㠷ㅢ㍣㡣㘳昵㤱㙤㑡戸攳收㤹搰愶愵挵㜵挶㐱扢㔰慡ㄴ㠵㔴挵愱慣㤶ㅡ㜹㔵攰㑢㕥晦昳戹㈹㘶㕦㠲㑤㌹㠸愳ㄴ㤷㑣㈴戵㙦㜷㙢㥦㐳㜷㈹攴㌰㠶㉦摢ㄸ㝣㡣㜱换挹㘰㔸搳ㅤ〵摡㠷敢㙢㤷ㄷ攴挵㌹㠸戴愶㈲捡戲㐳戸㡢㔷㡤㈰㑢㙥㡢㌴㍢㔴㍥㔴愶捤ㅥ㈹㍡㘰晡㐵慢〲㐷㔸愷㉦昰搲㘹ㄸ㈳㙤㜲〷〷㐹㥣て㈲扢攷ㅦ㤷㡦㠹昳晢〲攳㐳㘱㝣㤷愷愰〴㜶ㄵ㡣㐴㠳㍢㔹戳扡ㄵ㐶㝥㘹㜹㙢㜷〳㈸っ〱搳愰㐵㑢摦挰ㄹ㐵㝥㜹〳㠷挱挸㤸攸㘸㌴㤰捡ㄸ攵〰ㅣ昶㐰ㅡ戸㠹〷改改㌲㤴㤰户㐱㕥ちぢ敦㈵づ㔹㌸〲㤵㥤㑤つ㠵㔳扡㠷慢㉦昶㤶㠶攲㤱㘲㤱收㉥晣㜳慢〲慢戸戶攱㥢愳ㅢㅡ㉥㘴挹㌵搱扥扢戶愱㈲戸㈸戸㙢㍣㝢㐰昷ち㜳㌹㙦搱扦戴搵㉥㐹愸扦㠰㍦㘲挹户搳㘶㑥搹扣㠴扡挰扤敦㍡㙤㤷捦搸㜲㕥慡换ㅢ㝦戴㘲戵捥㑥㑥戲㉢昱㌱㝥㘴㑡㈶搴户㌱攲㑡愶捤〱㙡づㄲ㡥㈳㤳㉦つ〶㤱㡦愱ㄳ搸敥搵ㅢ〳愴㤳つつ㜴㈲〵挱ㅡ愱搸戳㥦ㄸ愱㈸㍦〷㕡㐹㉣晥㤱ㅣ㝢晥㉡㔸㕦昹ㄹ㑡㠸㜰㍣〷㘲㐴扤ㅡ戹ㄸ搴㐹㐱ㅥ㕣敦攰㘵㤰晦ㅦ㉣㠵摣扣㈴㍢晤ㄷ㤸㔹㜹慢ㄱ㐵摢㠸愲㌷㥢㔱挴㐰散〵㠵扣㌹晢戵愳收愷㝥慤昷㝦㜸搴扣〷ㄸ㘶㤲搶ㄸ㠲㙡っ挶㔷㡤㠱㘴㤳㌱㜰㍤慡愵㌱㜰㉦晢㌰㕥敦ㅢ〳㠱户攳㌰ち㤶㌷〶ㄸ挵㡢㌱昹㈲㐱搵㠸〳㠳㘷慤㑤ㄶ㍤㘱〷㜰扤㔶戸㠸摣㐳㍤戹㘳昰㍤㙤㙥㉥㥥搲ㅤ摤摡㈲换㈷ㅤ〱戵攵㑣攳扥戶散挲ㅥ㕢㤷慣㤱㥤㤶昰㑡㠴晥昴㌵捦挹捡㙥愹〳㔳㝥昲ㅤ昵㑡㐶㐹㕦㠴㑦㐴攱〹㈱昱愵つ㍦㥤晣昳㈳㑦敥攳扤戴㠰㔶㔵〶㠲摢〹捥搳㜲㐰昸㌶㜲㈵㘴㈳㍦扦㌹㡣て㤱捣昹㤲ㄸ搵ㅤ㘹敦戸㥡ㄵ㘶㝤挲㡢㄰愶㑦㝣慢挱㤸挴つ〷摦㤸捣㌶㌸㌶攵攷㑢搲ㄹ㤸㡤㑣㕣㝡敦挲〰愱搲㔲㘵戵㘹㔷慡慦㐳改㕣攰㐴敡敤㐱㥥㉦㤹ㄴ攵戵㐶慤戶㠷㕡㑤㥡㠹捡㄰㕡㠴㔲ち㤱〶㔲㐸昴挸挲搰扦㤴㔲㔳挸愸㔹㠰㤸ㄸ㕡㘳㌰㤷㈷晦㌵㈱㈰慡搷晢摡晣㔴〵扢〸㉣㠶㕥昷㜶捦慥戴㍡㐳搵挴愰慣㍣㝤ㅣ㐳㐶ㅥ㔳㔸挰㈸慤㉣㍤㡥㑣㤸搴㘱攴㔶散㜸攲㑢㝡㉤㍦挴收㌳戶㙡搱慢搶㘵敤户㉢戸攳〱㍤㤳㤶ち挳㕥捦㘲ㅣ㍤㘵㌴捥㙦摡攵ㄷㄱ昶昹搹㙡愷敥愰ち㍡换摥㠲昳㈷挲㝣晣ㅥ㠸昵㐳戵愱㌷㌶搶㔰挷搹㥤㔸㈰㝦㘱㝦㙤㡢㘱㙣扣㤵ㅣ〳〹扢愲㔶ㄹ晦ㄲ㜸づ㕤愴㍤慦㘸戵㉣摦愵㈸㡣㐶㠷㥣搵搱慣晦ㄹ愷㤶㥣㌵捤搶っ㔸搷改晦㤳㈸㔸㔶晦㉢㡣戲㐹㤴摤ㄷ㘴昸愰㌲㔲戲㙣㜰㠶㍢〲ㅦ㌶挲㌴昲〸慣挹㉣㠳摢㝥㉥㠷㑦㔴晤㙡㈹挱攱攱㑡㌵㕥㠲愸昶愵㙤摢摤㔲〰㌲ち愴晥ㄸ㈲愸㘵㝦㑥扡昹ㅣ㥢扥ㅦ挵ㅢづ㥢〵愷散㤶つ㙦㌰㠷昰敥㈰扦㌰㌳㘰昳㡣㈸慦㌶ち戵㙢戱ㄳ㍤て愰捦㤱愳㄰搸㐷㠴昷㐹㐵ㅤㄹ㐳㔸㔹捣㠲㕦ㅢ昵㐷〲㐹搴づ敥㘵挶戱㡡㕥挲〷慡㐷攱搵昴㔸戴㉡㤴㥤敦㕢㙥扣㡢挱慤挳㙤慣㝢攱昹ㄱ愵㉣挲㘰㜲〹て㍣挸㝤㙤摣㠳晡戶挱摡㕣戶㙣捦扢搶愵晥〸㌸㕤搹㕢敡㐹㠶敦攴㜷挷㕤摡㠳㠴㠸昳搰㍢扡㜲㔷㉣㐷ㅢ〰㥤〷㥦㙤搳攵㌵㔴㠲愳㙣〵㜱敥㉦愲慢㜲㌷〱㝥戵㝣㤰攱㠳㐲㝦摥㕤捣扣㡣㘵㤱〱㤰㑦愴㜵㠰搶㔴晤㠳愵愸㕡攱搱㠲㔴搸愵㝣ㅦ昵摣㈵㝦戵㐵㤶攱愸㈱㡦㄰挸㙢〲㈰㑣ち㡦㄰昲晤㉦愲㐳昵晤戳㈸㙤晤晥敦㉤昹㝥㉡㝦戹扥攸昸晤愱昲搰㑥愱㕡㍢㑤㔰㈲戰〰晡㐳ㅤ搲㐷戱㐸㔹㤳昶㠳〸㙦敤㐳ㅥ改昷挱晦敦敦㝢昷ㅤ愶㝦散㔳愴㈰㐴㔵晤㉡㈸〸攵㉡㥥㡢慥㘲ㅥ愵慤㔷昱散㔲慢攸愷㡣攴㑣㌴〷愰户㐳㈱慤挸㔵戹㐱㐶㘲㑤㈲㤴慤敡搶㑡挴捡扥ㄵ㘴搰㤷㍢㉦晢㉥〴ㄹ㍥昴㠷㕤㔴敥㐸捣户㍣搲㔰攲摤㐷扡㙦搲扥晦㌵敤慢挷㡣ㄵ㌸㕥㔷㠵㤰〸㕣收㉤㘵㝢扡捤愰扥昲㑣㠸愱〳〷挲て愵㤲㐱㤸〹ㄴ攲㥢愶愴㈸㙥愴昲㜴搸昸戵㌷㙡㕥㔲㔴㈰㠱㡣晣挶愴㍣搹昸愹戰昱㉥㝣㠴㈵摢㈴㜸㘹㠰改晤戰㌱㈹㔴㌶晥㝡搸昸敦扢戶㔴ㅢ㠷〴改㡦慣㤲㕡㘲㡣㕥㜹っ㠸㝣㤰捤搳戵㙡㔰㤱㜶ㅢ㝥㌱㐵愸㡣ㄶ㤷愴㉡敤挱晤て〷㥦㐴ㅦ挲㜵㈶摣晡㠰戴昵晦㌲挲㐱㕣㜳ㅡ搷㍤ㅤ㕦㍣㉦㈰扥散㘸昲㠹㥤搳挶㔱〷〵㥤挶㐱ㄷ㠷慢攲慡㈲ㄱ搸〵㈹㝦㝦㤷昱挳挷搸㤰戵晤〸攳㘲㐹㕥ㅢ㘹㑦㡢挸㔸㑡㑡㜹㌲挴㙣攲㕣㡤㘶戴㉦〳㌹㤰㤷㠰捣㘸㡦〱晡戱㤷つ㉣攸愷㈰㤰㕣㝥づㄹ㜰㌹㤹㥤攸㑦㝦〵愰㉦晣㜳ㄴ㠳ぢ搲㕦㤲㔴ㅥぢ摦ㄱ愵ㅥ敤〹㜶㜸ㄲ愰〳㡥㕡㈵愰扤㉥敤㙢㈸㠹扥㡢㠲㐳扥敢㈹㘴㝡㍢㔴㑥㙤挵㝢挴ㄵ戴愹戰㥥㐶㔷㠵ぢ攷ㄸ摡㌳㐱㠶て敡㌹㠰扢㕡㥢挸㍣〱㠷㕦敤㈳㤶㔹昷㜹晥㝥㝣㙥扦挸戵㜶攰慦㡤愸搲㥥㑦㈵㍦摢摥㔸㈴㜹㤵昳攱敦〲昶昸㈲挶攱扡㙡愶㈵㐷愴摥搱扥〱愰㄰㔱摣㜵敤㥢㝣㈲㝥攴㤶㝣㉢挸昰㐱㈱㜲捥㌱攳㘰ㅥ㥣㡢散晥㉣㑢攴㐶㈲㔳慦㈸戸愱ㄲ慤捦㈱搳摢搱挷㌷㔱昱㈴捦㉡㠵㠷㡡て㍤昴㘱㕦㙡㜰㙢敡昳㜷昷扣昰晥㙦㍦㜸晥扤㉦散晤摢㐷㉦扤昴摥㕦㥥㝦攷愳户㘷昶晥晡㤵㔷㝥㜵捦て摦昹㘰扤昱㜲昲㡤てて扤晣攸昰改㐷ㅦ㌶㑥摣㌲昹攸晤愷㡥つ㑦㕤㌶搴搱搱搹㜹攳挰㙦㉥扦愹晦摣挳㙦㉡扦晣攳㘶㕢㤱㤳挷ぢ敡愷挱㐵挸㘹㝣〷ㄹ㑣㠳㌳晥㔴愷挱攵㥥挳慦㔲ち㌶㙡ㄴてㄹ戸ㄹ㌸〱㔹㜱扡扥愲晢㍦㝦㑤㡥扢</t>
  </si>
  <si>
    <t>㜸〱慤㔲㑢㙦ㄳ㌱㄰昶㍡搹㜶户〹㔲㈵㐴㉢ㅥ㠷㠸㉢搱㤲愸㠹搴ㅥ㔲㈹㔹ち㐸搰㈶㈲㈹ㄲ㈷换扢㥥㈴㙥㌶㌶搸摥㠸㜰㠰㍦挲㠵晦挸㠵ㄳ搸摢㐴摡㈰挴〱㌱戲挷㥥㙦㥥ㅥて昲㄰㐲㍦㉤戹搳㔱搵㕤ㅥ㡤搷摡挰㌲㡡㘵㤶㐱㙡戸ㄴ㍡敡㉢㐵搷慦戹㌶ㄵ㙢戰㐷戸搵㙢㥦㘸晥〹〲戲〲愵慤㤱㡦㔰㄰㠴搸敡㕤㄰户て户㐲攸扣敡㔵换㈶昱㘰㤸摣搸愸㘳㈳ㄵ㌴ㅢ㙦㙦㝤㝢敤㜶搴㡥㍡慤㔶㌷㙡㌵ㅢ㜱㥥㤹㕣㐱㑦㐰㙥ㄴ捤㥡㡤㔱㥥㘴㍣㝤〵敢㠹㕣㠰攸㐱搲㍡㐹㘸攷戴摤改㜶愷㘷㘷愷㜵㥢ㅡ㕤挵㠳㤱㠲愹晥㑦㌱㝤㔷昲昹㌳㐸戹㝢ㅢ㠰攲㘲ㄶ挵〳扢㑡昵㕢改攲愳〱攱㑣愲攱戸㈴㡤攷〰㐵慦㡥挸敦㘸㔱攵㥤攵戵㠶㌷㔴捣攰㡡㉥挱㕦扥挸㌹慢愲捡搳㍦㈵㉣ㅣ捡愹㡡攰〵敡ㅥ敥搵㌶晦㜵ㅢ〳愱㜰捦愱搵ㅦ昶㕦换慡㥡㐵㌱愱㤸㈴㤸愴㤸㌰㑣〰㤳㈹㈶㌳㑣收㤸㜰㑣㙥㌰㔹㔸㥢㉤〵晢晢㜸㐳敦㍥㉦敡搷昸换攵㔷昶攰挳户敦挷て㝤㤷攱㕦㙡扤攷慡〶〵㈲〵晤㘴㈸攲戹敢〰㝢㕣㐶愷㐵㐷ㄹ戰㤱㤲敦㐱㤹昵㠴㈶ㄹㅣ敤㤸昴敤㔴慥挰㉡敥敦挰捦㘵㥡敢㔸ち愳㘴戶慢改戳ㄵ戵㌹搹愵㘴㔰愹㜸ㅥ扡扢改搹挵ち㠴㜹㐹〵换㐰晤㜵敥㍤搷敡㠳㌰㜰晣〰㜹敥㜴㈳ㅥ㠶㤶㙤改㜰㉢搴㝥〱㘴㌴昶愳</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</si>
</sst>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
  </numFmts>
  <fonts count="27" x14ac:knownFonts="1">
    <font>
      <sz val="10"/>
      <name val="Arial"/>
    </font>
    <font>
      <b/>
      <sz val="10"/>
      <name val="Arial"/>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sz val="11"/>
      <color indexed="17"/>
      <name val="Calibri"/>
      <family val="2"/>
    </font>
    <font>
      <sz val="11"/>
      <color indexed="16"/>
      <name val="Calibri"/>
      <family val="2"/>
    </font>
    <font>
      <sz val="11"/>
      <color indexed="60"/>
      <name val="Calibri"/>
      <family val="2"/>
    </font>
    <font>
      <b/>
      <sz val="11"/>
      <color indexed="8"/>
      <name val="Calibri"/>
      <family val="2"/>
    </font>
    <font>
      <sz val="11"/>
      <color indexed="62"/>
      <name val="Calibri"/>
      <family val="2"/>
    </font>
    <font>
      <b/>
      <sz val="11"/>
      <color indexed="63"/>
      <name val="Calibri"/>
      <family val="2"/>
    </font>
    <font>
      <b/>
      <sz val="11"/>
      <color indexed="53"/>
      <name val="Calibri"/>
      <family val="2"/>
    </font>
    <font>
      <sz val="11"/>
      <color indexed="53"/>
      <name val="Calibri"/>
      <family val="2"/>
    </font>
    <font>
      <b/>
      <sz val="11"/>
      <color indexed="9"/>
      <name val="Calibri"/>
      <family val="2"/>
    </font>
    <font>
      <sz val="11"/>
      <color indexed="10"/>
      <name val="Calibri"/>
      <family val="2"/>
    </font>
    <font>
      <sz val="10"/>
      <name val="Arial"/>
      <family val="2"/>
    </font>
    <font>
      <sz val="11"/>
      <color indexed="9"/>
      <name val="Calibri"/>
      <family val="2"/>
    </font>
    <font>
      <sz val="11"/>
      <color indexed="8"/>
      <name val="Calibri"/>
      <family val="2"/>
    </font>
    <font>
      <b/>
      <sz val="11"/>
      <name val="Calibri"/>
      <family val="2"/>
      <scheme val="minor"/>
    </font>
    <font>
      <sz val="11"/>
      <name val="Calibri"/>
      <family val="2"/>
      <scheme val="minor"/>
    </font>
    <font>
      <b/>
      <sz val="18"/>
      <color rgb="FF1F497D"/>
      <name val="Cambria"/>
      <family val="1"/>
      <scheme val="major"/>
    </font>
    <font>
      <b/>
      <sz val="11"/>
      <color theme="1" tint="0.249977111117893"/>
      <name val="Calibri"/>
      <family val="2"/>
      <scheme val="minor"/>
    </font>
    <font>
      <sz val="11"/>
      <color theme="1" tint="0.249977111117893"/>
      <name val="Calibri"/>
      <family val="2"/>
      <scheme val="minor"/>
    </font>
    <font>
      <sz val="18"/>
      <color rgb="FF1F497D"/>
      <name val="Cambria"/>
      <family val="1"/>
      <scheme val="major"/>
    </font>
    <font>
      <u/>
      <sz val="10"/>
      <color theme="10"/>
      <name val="MS Sans Serif"/>
      <family val="2"/>
    </font>
    <font>
      <u/>
      <sz val="10"/>
      <color rgb="FFFF0000"/>
      <name val="Calibri"/>
      <family val="2"/>
      <scheme val="minor"/>
    </font>
  </fonts>
  <fills count="20">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s>
  <borders count="1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s>
  <cellStyleXfs count="45">
    <xf numFmtId="0" fontId="0" fillId="0" borderId="0"/>
    <xf numFmtId="0" fontId="17" fillId="2" borderId="0" applyNumberFormat="0" applyBorder="0" applyAlignment="0" applyProtection="0"/>
    <xf numFmtId="0" fontId="18" fillId="3" borderId="0" applyNumberFormat="0" applyBorder="0" applyAlignment="0" applyProtection="0"/>
    <xf numFmtId="0" fontId="18" fillId="3"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8" fillId="6" borderId="0" applyNumberFormat="0" applyBorder="0" applyAlignment="0" applyProtection="0"/>
    <xf numFmtId="0" fontId="18" fillId="7"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8" fillId="6" borderId="0" applyNumberFormat="0" applyBorder="0" applyAlignment="0" applyProtection="0"/>
    <xf numFmtId="0" fontId="18" fillId="9" borderId="0" applyNumberFormat="0" applyBorder="0" applyAlignment="0" applyProtection="0"/>
    <xf numFmtId="0" fontId="17" fillId="7" borderId="0" applyNumberFormat="0" applyBorder="0" applyAlignment="0" applyProtection="0"/>
    <xf numFmtId="0" fontId="17" fillId="2" borderId="0" applyNumberFormat="0" applyBorder="0" applyAlignment="0" applyProtection="0"/>
    <xf numFmtId="0" fontId="18" fillId="3" borderId="0" applyNumberFormat="0" applyBorder="0" applyAlignment="0" applyProtection="0"/>
    <xf numFmtId="0" fontId="18" fillId="7" borderId="0" applyNumberFormat="0" applyBorder="0" applyAlignment="0" applyProtection="0"/>
    <xf numFmtId="0" fontId="17" fillId="7" borderId="0" applyNumberFormat="0" applyBorder="0" applyAlignment="0" applyProtection="0"/>
    <xf numFmtId="0" fontId="17" fillId="10" borderId="0" applyNumberFormat="0" applyBorder="0" applyAlignment="0" applyProtection="0"/>
    <xf numFmtId="0" fontId="18" fillId="11" borderId="0" applyNumberFormat="0" applyBorder="0" applyAlignment="0" applyProtection="0"/>
    <xf numFmtId="0" fontId="18" fillId="3" borderId="0" applyNumberFormat="0" applyBorder="0" applyAlignment="0" applyProtection="0"/>
    <xf numFmtId="0" fontId="17" fillId="4" borderId="0" applyNumberFormat="0" applyBorder="0" applyAlignment="0" applyProtection="0"/>
    <xf numFmtId="0" fontId="17" fillId="12" borderId="0" applyNumberFormat="0" applyBorder="0" applyAlignment="0" applyProtection="0"/>
    <xf numFmtId="0" fontId="18" fillId="6" borderId="0" applyNumberFormat="0" applyBorder="0" applyAlignment="0" applyProtection="0"/>
    <xf numFmtId="0" fontId="18" fillId="13" borderId="0" applyNumberFormat="0" applyBorder="0" applyAlignment="0" applyProtection="0"/>
    <xf numFmtId="0" fontId="17" fillId="13" borderId="0" applyNumberFormat="0" applyBorder="0" applyAlignment="0" applyProtection="0"/>
    <xf numFmtId="0" fontId="7" fillId="14" borderId="0" applyNumberFormat="0" applyBorder="0" applyAlignment="0" applyProtection="0"/>
    <xf numFmtId="0" fontId="12" fillId="15" borderId="1" applyNumberFormat="0" applyAlignment="0" applyProtection="0"/>
    <xf numFmtId="0" fontId="14" fillId="8" borderId="2" applyNumberFormat="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6" fillId="9" borderId="0" applyNumberFormat="0" applyBorder="0" applyAlignment="0" applyProtection="0"/>
    <xf numFmtId="0" fontId="3" fillId="0" borderId="3" applyNumberFormat="0" applyFill="0" applyAlignment="0" applyProtection="0"/>
    <xf numFmtId="0" fontId="4" fillId="0" borderId="4" applyNumberFormat="0" applyFill="0" applyAlignment="0" applyProtection="0"/>
    <xf numFmtId="0" fontId="5" fillId="0" borderId="5" applyNumberFormat="0" applyFill="0" applyAlignment="0" applyProtection="0"/>
    <xf numFmtId="0" fontId="5" fillId="0" borderId="0" applyNumberFormat="0" applyFill="0" applyBorder="0" applyAlignment="0" applyProtection="0"/>
    <xf numFmtId="0" fontId="10" fillId="13" borderId="1" applyNumberFormat="0" applyAlignment="0" applyProtection="0"/>
    <xf numFmtId="0" fontId="13" fillId="0" borderId="6" applyNumberFormat="0" applyFill="0" applyAlignment="0" applyProtection="0"/>
    <xf numFmtId="0" fontId="8" fillId="19" borderId="0" applyNumberFormat="0" applyBorder="0" applyAlignment="0" applyProtection="0"/>
    <xf numFmtId="0" fontId="16" fillId="6" borderId="7" applyNumberFormat="0" applyFont="0" applyAlignment="0" applyProtection="0"/>
    <xf numFmtId="0" fontId="11" fillId="15" borderId="8" applyNumberFormat="0" applyAlignment="0" applyProtection="0"/>
    <xf numFmtId="0" fontId="2" fillId="0" borderId="0" applyNumberFormat="0" applyFill="0" applyBorder="0" applyAlignment="0" applyProtection="0"/>
    <xf numFmtId="0" fontId="9" fillId="0" borderId="9" applyNumberFormat="0" applyFill="0" applyAlignment="0" applyProtection="0"/>
    <xf numFmtId="0" fontId="15" fillId="0" borderId="0" applyNumberFormat="0" applyFill="0" applyBorder="0" applyAlignment="0" applyProtection="0"/>
    <xf numFmtId="0" fontId="25" fillId="0" borderId="0" applyNumberFormat="0" applyFill="0" applyBorder="0" applyAlignment="0" applyProtection="0"/>
  </cellStyleXfs>
  <cellXfs count="25">
    <xf numFmtId="0" fontId="0" fillId="0" borderId="0" xfId="0"/>
    <xf numFmtId="0" fontId="1" fillId="0" borderId="0" xfId="0" applyFont="1"/>
    <xf numFmtId="0" fontId="0" fillId="0" borderId="0" xfId="0" quotePrefix="1"/>
    <xf numFmtId="0" fontId="19" fillId="0" borderId="0" xfId="0" applyFont="1"/>
    <xf numFmtId="0" fontId="20" fillId="0" borderId="0" xfId="0" applyFont="1"/>
    <xf numFmtId="0" fontId="20" fillId="0" borderId="0" xfId="0" applyFont="1" applyAlignment="1">
      <alignment horizontal="center"/>
    </xf>
    <xf numFmtId="164" fontId="20" fillId="0" borderId="0" xfId="0" applyNumberFormat="1" applyFont="1" applyAlignment="1">
      <alignment horizontal="center"/>
    </xf>
    <xf numFmtId="0" fontId="20" fillId="0" borderId="0" xfId="0" applyFont="1" applyFill="1"/>
    <xf numFmtId="9" fontId="20" fillId="0" borderId="0" xfId="0" applyNumberFormat="1" applyFont="1"/>
    <xf numFmtId="0" fontId="20" fillId="0" borderId="0" xfId="0" applyFont="1" applyAlignment="1">
      <alignment horizontal="left"/>
    </xf>
    <xf numFmtId="1" fontId="20" fillId="0" borderId="0" xfId="0" applyNumberFormat="1" applyFont="1"/>
    <xf numFmtId="164" fontId="20" fillId="0" borderId="0" xfId="0" applyNumberFormat="1" applyFont="1" applyFill="1"/>
    <xf numFmtId="164" fontId="20" fillId="0" borderId="0" xfId="0" applyNumberFormat="1" applyFont="1"/>
    <xf numFmtId="0" fontId="21" fillId="0" borderId="0" xfId="0" applyFont="1"/>
    <xf numFmtId="0" fontId="22" fillId="0" borderId="0" xfId="0" applyFont="1"/>
    <xf numFmtId="0" fontId="23" fillId="0" borderId="0" xfId="0" applyFont="1" applyAlignment="1">
      <alignment horizontal="center" vertical="center"/>
    </xf>
    <xf numFmtId="0" fontId="14" fillId="8" borderId="0" xfId="9" applyFont="1" applyAlignment="1">
      <alignment horizontal="center"/>
    </xf>
    <xf numFmtId="0" fontId="14" fillId="8" borderId="0" xfId="9" applyFont="1" applyAlignment="1">
      <alignment vertical="center"/>
    </xf>
    <xf numFmtId="0" fontId="21" fillId="0" borderId="0" xfId="0" applyFont="1" applyAlignment="1">
      <alignment wrapText="1"/>
    </xf>
    <xf numFmtId="0" fontId="24" fillId="0" borderId="0" xfId="0" applyFont="1"/>
    <xf numFmtId="0" fontId="19" fillId="0" borderId="0" xfId="0" applyFont="1" applyAlignment="1">
      <alignment wrapText="1"/>
    </xf>
    <xf numFmtId="0" fontId="20" fillId="0" borderId="0" xfId="0" applyFont="1" applyAlignment="1">
      <alignment wrapText="1"/>
    </xf>
    <xf numFmtId="0" fontId="20" fillId="0" borderId="0" xfId="0" applyNumberFormat="1" applyFont="1" applyAlignment="1">
      <alignment wrapText="1"/>
    </xf>
    <xf numFmtId="0" fontId="0" fillId="0" borderId="0" xfId="0" applyBorder="1"/>
    <xf numFmtId="0" fontId="26" fillId="0" borderId="0" xfId="44" applyFont="1" applyAlignment="1">
      <alignment horizontal="center" vertical="center"/>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4" builtinId="8"/>
    <cellStyle name="Input" xfId="36" builtinId="20" customBuiltin="1"/>
    <cellStyle name="Linked Cell" xfId="37" builtinId="24" customBuiltin="1"/>
    <cellStyle name="Neutral" xfId="38" builtinId="28" customBuiltin="1"/>
    <cellStyle name="Normal" xfId="0" builtinId="0"/>
    <cellStyle name="Note" xfId="39" builtinId="10" customBuiltin="1"/>
    <cellStyle name="Output" xfId="40" builtinId="21" customBuiltin="1"/>
    <cellStyle name="Sheet Title" xfId="41"/>
    <cellStyle name="Total" xfId="42" builtinId="25" customBuiltin="1"/>
    <cellStyle name="Warning Text" xfId="43"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13</xdr:row>
          <xdr:rowOff>0</xdr:rowOff>
        </xdr:from>
        <xdr:to>
          <xdr:col>3</xdr:col>
          <xdr:colOff>142875</xdr:colOff>
          <xdr:row>14</xdr:row>
          <xdr:rowOff>142875</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16</xdr:row>
          <xdr:rowOff>0</xdr:rowOff>
        </xdr:from>
        <xdr:to>
          <xdr:col>3</xdr:col>
          <xdr:colOff>142875</xdr:colOff>
          <xdr:row>17</xdr:row>
          <xdr:rowOff>142875</xdr:rowOff>
        </xdr:to>
        <xdr:sp macro="" textlink="">
          <xdr:nvSpPr>
            <xdr:cNvPr id="1027" name="CommandButton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rnd"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100000" t="100000" r="100000" b="10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25400" tIns="0" rIns="2540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25400" tIns="0" rIns="2540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M31"/>
  <sheetViews>
    <sheetView workbookViewId="0"/>
  </sheetViews>
  <sheetFormatPr defaultRowHeight="12.75" x14ac:dyDescent="0.2"/>
  <cols>
    <col min="1" max="2" width="36.7109375" customWidth="1"/>
  </cols>
  <sheetData>
    <row r="1" spans="1:13" x14ac:dyDescent="0.2">
      <c r="A1" s="1" t="s">
        <v>21</v>
      </c>
    </row>
    <row r="3" spans="1:13" x14ac:dyDescent="0.2">
      <c r="A3" t="s">
        <v>22</v>
      </c>
      <c r="B3" t="s">
        <v>23</v>
      </c>
      <c r="C3">
        <v>0</v>
      </c>
    </row>
    <row r="4" spans="1:13" x14ac:dyDescent="0.2">
      <c r="A4" t="s">
        <v>24</v>
      </c>
      <c r="I4">
        <v>89.369926530097203</v>
      </c>
      <c r="J4">
        <v>79.510280866626971</v>
      </c>
      <c r="K4">
        <v>100.7733810053403</v>
      </c>
      <c r="L4">
        <v>175.1630734741467</v>
      </c>
      <c r="M4">
        <v>280.9411497533028</v>
      </c>
    </row>
    <row r="5" spans="1:13" x14ac:dyDescent="0.2">
      <c r="A5" t="s">
        <v>25</v>
      </c>
      <c r="I5">
        <v>90.564856887282403</v>
      </c>
      <c r="J5">
        <v>82.528882332711589</v>
      </c>
      <c r="K5">
        <v>101.54169526340034</v>
      </c>
      <c r="L5">
        <v>176.67154432291062</v>
      </c>
      <c r="M5">
        <v>284.16971541808721</v>
      </c>
    </row>
    <row r="6" spans="1:13" x14ac:dyDescent="0.2">
      <c r="I6">
        <v>91.638262751937319</v>
      </c>
      <c r="J6">
        <v>84.578874594775385</v>
      </c>
      <c r="K6">
        <v>102.3081334379735</v>
      </c>
      <c r="L6">
        <v>179.29656402266511</v>
      </c>
      <c r="M6">
        <v>285.58548597685405</v>
      </c>
    </row>
    <row r="7" spans="1:13" x14ac:dyDescent="0.2">
      <c r="A7" s="1" t="s">
        <v>26</v>
      </c>
      <c r="B7" t="s">
        <v>27</v>
      </c>
      <c r="I7">
        <v>92.622994813110623</v>
      </c>
      <c r="J7">
        <v>86.178519092404073</v>
      </c>
      <c r="K7">
        <v>103.07583195329622</v>
      </c>
      <c r="L7">
        <v>180.28817182570083</v>
      </c>
      <c r="M7">
        <v>287.93122999829018</v>
      </c>
    </row>
    <row r="8" spans="1:13" x14ac:dyDescent="0.2">
      <c r="B8">
        <v>2</v>
      </c>
      <c r="I8">
        <v>93.540870554749759</v>
      </c>
      <c r="J8">
        <v>87.514516476095878</v>
      </c>
      <c r="K8">
        <v>103.84796361651846</v>
      </c>
      <c r="L8">
        <v>182.31669825600633</v>
      </c>
      <c r="M8">
        <v>289.03452120972815</v>
      </c>
    </row>
    <row r="9" spans="1:13" x14ac:dyDescent="0.2">
      <c r="I9">
        <v>94.407264077768332</v>
      </c>
      <c r="J9">
        <v>88.6766399311269</v>
      </c>
      <c r="K9">
        <v>104.6278309996512</v>
      </c>
      <c r="L9">
        <v>183.11813853239869</v>
      </c>
      <c r="M9">
        <v>291.30009847070102</v>
      </c>
    </row>
    <row r="10" spans="1:13" x14ac:dyDescent="0.2">
      <c r="A10" t="s">
        <v>28</v>
      </c>
      <c r="I10">
        <v>95.233541019798366</v>
      </c>
      <c r="J10">
        <v>89.71538384650394</v>
      </c>
      <c r="K10">
        <v>105.41896986800423</v>
      </c>
      <c r="L10">
        <v>183.96461183783956</v>
      </c>
      <c r="M10">
        <v>292.02929778207846</v>
      </c>
    </row>
    <row r="11" spans="1:13" x14ac:dyDescent="0.2">
      <c r="A11" t="e">
        <f>CB_DATA_!#REF!</f>
        <v>#REF!</v>
      </c>
      <c r="B11" t="e">
        <f>Model!#REF!</f>
        <v>#REF!</v>
      </c>
      <c r="F11">
        <v>100</v>
      </c>
      <c r="I11">
        <v>96.028455553025807</v>
      </c>
      <c r="J11">
        <v>90.662157112917569</v>
      </c>
      <c r="K11">
        <v>106.22527145612636</v>
      </c>
      <c r="L11">
        <v>185.32594765963609</v>
      </c>
      <c r="M11">
        <v>293.18014940767108</v>
      </c>
    </row>
    <row r="12" spans="1:13" x14ac:dyDescent="0.2">
      <c r="F12">
        <v>187.57149402106702</v>
      </c>
      <c r="I12">
        <v>96.799004310177764</v>
      </c>
      <c r="J12">
        <v>91.537932230830776</v>
      </c>
      <c r="K12">
        <v>107.05113539777449</v>
      </c>
      <c r="L12">
        <v>186.05581703827525</v>
      </c>
      <c r="M12">
        <v>294.18879011329579</v>
      </c>
    </row>
    <row r="13" spans="1:13" x14ac:dyDescent="0.2">
      <c r="A13" t="s">
        <v>29</v>
      </c>
      <c r="F13">
        <v>187.31639336044225</v>
      </c>
      <c r="I13">
        <v>97.550977655069147</v>
      </c>
      <c r="J13">
        <v>92.357477168631476</v>
      </c>
      <c r="K13">
        <v>107.90167042702522</v>
      </c>
      <c r="L13">
        <v>187.10405492367639</v>
      </c>
      <c r="M13">
        <v>296.0789776203606</v>
      </c>
    </row>
    <row r="14" spans="1:13" x14ac:dyDescent="0.2">
      <c r="A14" t="s">
        <v>33</v>
      </c>
      <c r="B14" t="s">
        <v>44</v>
      </c>
      <c r="F14">
        <v>7.3852570399275379</v>
      </c>
      <c r="I14">
        <v>98.289334159606042</v>
      </c>
      <c r="J14">
        <v>93.131633837900878</v>
      </c>
      <c r="K14">
        <v>108.78296917071494</v>
      </c>
      <c r="L14">
        <v>188.45778305954977</v>
      </c>
      <c r="M14">
        <v>296.78756901009399</v>
      </c>
    </row>
    <row r="15" spans="1:13" x14ac:dyDescent="0.2">
      <c r="F15">
        <v>54.542021545799258</v>
      </c>
      <c r="I15">
        <v>99.018468576387349</v>
      </c>
      <c r="J15">
        <v>93.868637233300277</v>
      </c>
      <c r="K15">
        <v>109.70249955813864</v>
      </c>
      <c r="L15">
        <v>189.79009360536787</v>
      </c>
      <c r="M15">
        <v>297.77304883605342</v>
      </c>
    </row>
    <row r="16" spans="1:13" x14ac:dyDescent="0.2">
      <c r="A16" t="s">
        <v>30</v>
      </c>
      <c r="F16">
        <v>-5.2538430810634099E-2</v>
      </c>
      <c r="I16">
        <v>99.742415072125524</v>
      </c>
      <c r="J16">
        <v>94.57492421115542</v>
      </c>
      <c r="K16">
        <v>110.66968489786777</v>
      </c>
      <c r="L16">
        <v>190.92764519432484</v>
      </c>
      <c r="M16">
        <v>299.47395291406383</v>
      </c>
    </row>
    <row r="17" spans="1:13" x14ac:dyDescent="0.2">
      <c r="F17">
        <v>1.997157739476723</v>
      </c>
      <c r="I17">
        <v>100.46501232091892</v>
      </c>
      <c r="J17">
        <v>95.25565307079205</v>
      </c>
      <c r="K17">
        <v>111.69680102693891</v>
      </c>
      <c r="L17">
        <v>192.36229129481899</v>
      </c>
      <c r="M17">
        <v>300.65111653871469</v>
      </c>
    </row>
    <row r="18" spans="1:13" x14ac:dyDescent="0.2">
      <c r="F18">
        <v>3.9373024555096121E-2</v>
      </c>
      <c r="I18">
        <v>101.19004900953877</v>
      </c>
      <c r="J18">
        <v>95.915050679412801</v>
      </c>
      <c r="K18">
        <v>112.80043300687126</v>
      </c>
      <c r="L18">
        <v>193.78129161936286</v>
      </c>
      <c r="M18">
        <v>302.28849236268996</v>
      </c>
    </row>
    <row r="19" spans="1:13" x14ac:dyDescent="0.2">
      <c r="A19" t="s">
        <v>31</v>
      </c>
      <c r="F19">
        <v>172.80635562276652</v>
      </c>
      <c r="I19">
        <v>101.92140445881473</v>
      </c>
      <c r="J19">
        <v>96.556652350589559</v>
      </c>
      <c r="K19">
        <v>114.00398215350084</v>
      </c>
      <c r="L19">
        <v>194.4438413471068</v>
      </c>
      <c r="M19">
        <v>305.60789577865688</v>
      </c>
    </row>
    <row r="20" spans="1:13" x14ac:dyDescent="0.2">
      <c r="A20">
        <v>31</v>
      </c>
      <c r="B20">
        <v>26</v>
      </c>
      <c r="F20">
        <v>200.71361615488249</v>
      </c>
      <c r="I20">
        <v>102.66319813780638</v>
      </c>
      <c r="J20">
        <v>97.183472673466369</v>
      </c>
      <c r="K20">
        <v>115.34230651605736</v>
      </c>
      <c r="L20">
        <v>195.40144387656858</v>
      </c>
      <c r="M20">
        <v>307.9546066698158</v>
      </c>
    </row>
    <row r="21" spans="1:13" x14ac:dyDescent="0.2">
      <c r="F21">
        <v>27.90726053211597</v>
      </c>
      <c r="I21">
        <v>103.41996354580864</v>
      </c>
      <c r="J21">
        <v>97.798130598387488</v>
      </c>
      <c r="K21">
        <v>116.87116868877396</v>
      </c>
      <c r="L21">
        <v>197.83616036166453</v>
      </c>
      <c r="M21">
        <v>310.5209660253895</v>
      </c>
    </row>
    <row r="22" spans="1:13" x14ac:dyDescent="0.2">
      <c r="F22">
        <v>0.73852570399275386</v>
      </c>
      <c r="I22">
        <v>104.19686680547713</v>
      </c>
      <c r="J22">
        <v>98.402943520571199</v>
      </c>
      <c r="K22">
        <v>118.68918327179806</v>
      </c>
      <c r="L22">
        <v>199.26654382071308</v>
      </c>
      <c r="M22">
        <v>312.75554232474508</v>
      </c>
    </row>
    <row r="23" spans="1:13" x14ac:dyDescent="0.2">
      <c r="F23">
        <v>100</v>
      </c>
    </row>
    <row r="24" spans="1:13" x14ac:dyDescent="0.2">
      <c r="F24">
        <v>100</v>
      </c>
    </row>
    <row r="25" spans="1:13" x14ac:dyDescent="0.2">
      <c r="A25" s="1" t="s">
        <v>32</v>
      </c>
    </row>
    <row r="26" spans="1:13" x14ac:dyDescent="0.2">
      <c r="A26" s="2" t="s">
        <v>34</v>
      </c>
    </row>
    <row r="27" spans="1:13" x14ac:dyDescent="0.2">
      <c r="A27" t="s">
        <v>55</v>
      </c>
    </row>
    <row r="28" spans="1:13" x14ac:dyDescent="0.2">
      <c r="A28" s="2" t="s">
        <v>35</v>
      </c>
    </row>
    <row r="29" spans="1:13" x14ac:dyDescent="0.2">
      <c r="A29" s="2" t="s">
        <v>49</v>
      </c>
    </row>
    <row r="30" spans="1:13" x14ac:dyDescent="0.2">
      <c r="A30" t="s">
        <v>56</v>
      </c>
    </row>
    <row r="31" spans="1:13" x14ac:dyDescent="0.2">
      <c r="A31" s="2" t="s">
        <v>50</v>
      </c>
    </row>
  </sheetData>
  <phoneticPr fontId="0" type="noConversion"/>
  <pageMargins left="0.7" right="0.7" top="0.75" bottom="0.75" header="0.3" footer="0.3"/>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7"/>
  <sheetViews>
    <sheetView showGridLines="0" showRowColHeaders="0" workbookViewId="0"/>
  </sheetViews>
  <sheetFormatPr defaultRowHeight="12.75" x14ac:dyDescent="0.2"/>
  <cols>
    <col min="2" max="2" width="100.85546875" customWidth="1"/>
  </cols>
  <sheetData>
    <row r="1" spans="1:4" ht="22.5" x14ac:dyDescent="0.3">
      <c r="A1" s="23"/>
      <c r="B1" s="13" t="s">
        <v>53</v>
      </c>
      <c r="C1" s="19"/>
      <c r="D1" s="4"/>
    </row>
    <row r="2" spans="1:4" ht="22.5" x14ac:dyDescent="0.3">
      <c r="B2" s="18"/>
      <c r="C2" s="19"/>
      <c r="D2" s="4"/>
    </row>
    <row r="3" spans="1:4" ht="15" x14ac:dyDescent="0.25">
      <c r="B3" s="20" t="s">
        <v>45</v>
      </c>
      <c r="C3" s="4"/>
      <c r="D3" s="4"/>
    </row>
    <row r="4" spans="1:4" ht="15" x14ac:dyDescent="0.25">
      <c r="B4" s="21" t="s">
        <v>54</v>
      </c>
      <c r="C4" s="4"/>
      <c r="D4" s="4"/>
    </row>
    <row r="5" spans="1:4" ht="15" x14ac:dyDescent="0.25">
      <c r="B5" s="21"/>
      <c r="C5" s="4"/>
      <c r="D5" s="4"/>
    </row>
    <row r="6" spans="1:4" ht="14.25" customHeight="1" x14ac:dyDescent="0.25">
      <c r="B6" s="20" t="s">
        <v>46</v>
      </c>
      <c r="C6" s="4"/>
      <c r="D6" s="4"/>
    </row>
    <row r="7" spans="1:4" ht="368.25" customHeight="1" x14ac:dyDescent="0.25">
      <c r="B7" s="22" t="s">
        <v>47</v>
      </c>
      <c r="C7" s="4"/>
      <c r="D7" s="4"/>
    </row>
    <row r="8" spans="1:4" ht="21.75" customHeight="1" x14ac:dyDescent="0.25">
      <c r="B8" s="20" t="s">
        <v>48</v>
      </c>
      <c r="C8" s="4"/>
      <c r="D8" s="4"/>
    </row>
    <row r="9" spans="1:4" ht="87.75" customHeight="1" x14ac:dyDescent="0.25">
      <c r="B9" s="20" t="s">
        <v>52</v>
      </c>
      <c r="C9" s="4"/>
      <c r="D9" s="4"/>
    </row>
    <row r="10" spans="1:4" ht="15" x14ac:dyDescent="0.25">
      <c r="B10" s="20"/>
      <c r="C10" s="4"/>
      <c r="D10" s="4"/>
    </row>
    <row r="11" spans="1:4" ht="15" x14ac:dyDescent="0.25">
      <c r="C11" s="4"/>
      <c r="D11" s="4"/>
    </row>
    <row r="12" spans="1:4" ht="15" x14ac:dyDescent="0.25">
      <c r="B12" s="21"/>
      <c r="C12" s="4"/>
      <c r="D12" s="4"/>
    </row>
    <row r="13" spans="1:4" ht="15" x14ac:dyDescent="0.25">
      <c r="B13" s="21"/>
      <c r="C13" s="4"/>
      <c r="D13" s="4"/>
    </row>
    <row r="14" spans="1:4" ht="15" x14ac:dyDescent="0.25">
      <c r="B14" s="21"/>
      <c r="C14" s="4"/>
      <c r="D14" s="4"/>
    </row>
    <row r="15" spans="1:4" ht="15" x14ac:dyDescent="0.25">
      <c r="B15" s="21"/>
      <c r="C15" s="4"/>
      <c r="D15" s="4"/>
    </row>
    <row r="16" spans="1:4" ht="15" x14ac:dyDescent="0.25">
      <c r="B16" s="21"/>
      <c r="C16" s="4"/>
      <c r="D16" s="4"/>
    </row>
    <row r="17" spans="2:4" ht="15" x14ac:dyDescent="0.25">
      <c r="B17" s="21"/>
      <c r="C17" s="4"/>
      <c r="D17" s="4"/>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38"/>
  <sheetViews>
    <sheetView showGridLines="0" tabSelected="1" workbookViewId="0">
      <selection activeCell="F4" sqref="F4:F6"/>
    </sheetView>
  </sheetViews>
  <sheetFormatPr defaultRowHeight="15" x14ac:dyDescent="0.25"/>
  <cols>
    <col min="1" max="1" width="7.28515625" style="4" customWidth="1"/>
    <col min="2" max="3" width="9.140625" style="4"/>
    <col min="4" max="4" width="22.140625" style="4" customWidth="1"/>
    <col min="5" max="5" width="19.5703125" style="4" customWidth="1"/>
    <col min="6" max="6" width="11" style="4" customWidth="1"/>
    <col min="7" max="8" width="9.140625" style="4"/>
    <col min="9" max="11" width="13.7109375" style="5" customWidth="1"/>
    <col min="12" max="13" width="13.7109375" style="6" customWidth="1"/>
    <col min="14" max="16384" width="9.140625" style="4"/>
  </cols>
  <sheetData>
    <row r="1" spans="1:13" ht="22.5" x14ac:dyDescent="0.3">
      <c r="B1" s="13" t="s">
        <v>53</v>
      </c>
      <c r="C1" s="3"/>
      <c r="D1" s="3"/>
      <c r="I1" s="24" t="s">
        <v>51</v>
      </c>
    </row>
    <row r="3" spans="1:13" x14ac:dyDescent="0.25">
      <c r="I3" s="16" t="s">
        <v>13</v>
      </c>
      <c r="J3" s="16" t="s">
        <v>14</v>
      </c>
      <c r="K3" s="16" t="s">
        <v>15</v>
      </c>
      <c r="L3" s="16" t="s">
        <v>16</v>
      </c>
      <c r="M3" s="16" t="s">
        <v>17</v>
      </c>
    </row>
    <row r="4" spans="1:13" x14ac:dyDescent="0.25">
      <c r="A4" s="14" t="s">
        <v>12</v>
      </c>
      <c r="B4" s="3"/>
      <c r="C4" s="7"/>
      <c r="E4" s="4" t="s">
        <v>13</v>
      </c>
      <c r="F4" s="7">
        <v>1</v>
      </c>
      <c r="H4" s="8">
        <v>0.05</v>
      </c>
      <c r="I4" s="6"/>
      <c r="J4" s="6"/>
      <c r="K4" s="6"/>
    </row>
    <row r="5" spans="1:13" x14ac:dyDescent="0.25">
      <c r="A5" s="15">
        <v>0</v>
      </c>
      <c r="B5" s="4" t="s">
        <v>36</v>
      </c>
      <c r="C5" s="7"/>
      <c r="E5" s="4" t="s">
        <v>14</v>
      </c>
      <c r="F5" s="7">
        <v>1</v>
      </c>
      <c r="H5" s="8">
        <v>0.1</v>
      </c>
      <c r="I5" s="6"/>
      <c r="J5" s="6"/>
      <c r="K5" s="6"/>
    </row>
    <row r="6" spans="1:13" x14ac:dyDescent="0.25">
      <c r="A6" s="15">
        <v>1</v>
      </c>
      <c r="B6" s="4" t="s">
        <v>37</v>
      </c>
      <c r="C6" s="7"/>
      <c r="E6" s="4" t="s">
        <v>15</v>
      </c>
      <c r="F6" s="7">
        <v>1</v>
      </c>
      <c r="H6" s="8">
        <v>0.15</v>
      </c>
      <c r="I6" s="6"/>
      <c r="J6" s="6"/>
      <c r="K6" s="6"/>
    </row>
    <row r="7" spans="1:13" x14ac:dyDescent="0.25">
      <c r="A7" s="15">
        <v>2</v>
      </c>
      <c r="B7" s="4" t="s">
        <v>38</v>
      </c>
      <c r="E7" s="4" t="s">
        <v>16</v>
      </c>
      <c r="F7" s="7">
        <f>SUM(F4:F5)</f>
        <v>2</v>
      </c>
      <c r="H7" s="8">
        <v>0.2</v>
      </c>
      <c r="I7" s="6"/>
      <c r="J7" s="6"/>
      <c r="K7" s="6"/>
    </row>
    <row r="8" spans="1:13" x14ac:dyDescent="0.25">
      <c r="A8" s="15">
        <v>3</v>
      </c>
      <c r="B8" s="4" t="s">
        <v>39</v>
      </c>
      <c r="E8" s="4" t="s">
        <v>17</v>
      </c>
      <c r="F8" s="7">
        <f>SUM(F4:F6)</f>
        <v>3</v>
      </c>
      <c r="H8" s="8">
        <v>0.25</v>
      </c>
      <c r="I8" s="6"/>
      <c r="J8" s="6"/>
      <c r="K8" s="6"/>
    </row>
    <row r="9" spans="1:13" x14ac:dyDescent="0.25">
      <c r="A9" s="15">
        <v>4</v>
      </c>
      <c r="B9" s="4" t="s">
        <v>40</v>
      </c>
      <c r="C9" s="7"/>
      <c r="F9" s="7"/>
      <c r="H9" s="8">
        <v>0.3</v>
      </c>
      <c r="I9" s="6"/>
      <c r="J9" s="6"/>
      <c r="K9" s="6"/>
    </row>
    <row r="10" spans="1:13" x14ac:dyDescent="0.25">
      <c r="A10" s="15">
        <v>5</v>
      </c>
      <c r="B10" s="4" t="s">
        <v>41</v>
      </c>
      <c r="C10" s="7"/>
      <c r="E10" s="17" t="s">
        <v>18</v>
      </c>
      <c r="F10" s="7"/>
      <c r="H10" s="8">
        <v>0.35</v>
      </c>
      <c r="I10" s="6"/>
      <c r="J10" s="6"/>
      <c r="K10" s="6"/>
    </row>
    <row r="11" spans="1:13" x14ac:dyDescent="0.25">
      <c r="A11" s="15">
        <v>6</v>
      </c>
      <c r="B11" s="4" t="s">
        <v>42</v>
      </c>
      <c r="C11" s="7"/>
      <c r="E11" s="9" t="s">
        <v>1</v>
      </c>
      <c r="F11" s="10"/>
      <c r="H11" s="8">
        <v>0.4</v>
      </c>
      <c r="I11" s="6"/>
      <c r="J11" s="6"/>
      <c r="K11" s="6"/>
    </row>
    <row r="12" spans="1:13" x14ac:dyDescent="0.25">
      <c r="A12" s="15">
        <v>7</v>
      </c>
      <c r="B12" s="4" t="s">
        <v>43</v>
      </c>
      <c r="C12" s="7"/>
      <c r="E12" s="9" t="s">
        <v>0</v>
      </c>
      <c r="F12" s="11"/>
      <c r="H12" s="8">
        <v>0.45</v>
      </c>
      <c r="I12" s="6"/>
      <c r="J12" s="6"/>
      <c r="K12" s="6"/>
    </row>
    <row r="13" spans="1:13" x14ac:dyDescent="0.25">
      <c r="E13" s="9" t="s">
        <v>2</v>
      </c>
      <c r="F13" s="11"/>
      <c r="H13" s="8">
        <v>0.5</v>
      </c>
      <c r="I13" s="6"/>
      <c r="J13" s="6"/>
      <c r="K13" s="6"/>
    </row>
    <row r="14" spans="1:13" x14ac:dyDescent="0.25">
      <c r="E14" s="9" t="s">
        <v>3</v>
      </c>
      <c r="F14" s="12"/>
      <c r="H14" s="8">
        <v>0.55000000000000004</v>
      </c>
      <c r="I14" s="6"/>
      <c r="J14" s="6"/>
      <c r="K14" s="6"/>
    </row>
    <row r="15" spans="1:13" x14ac:dyDescent="0.25">
      <c r="E15" s="9" t="s">
        <v>4</v>
      </c>
      <c r="F15" s="12"/>
      <c r="H15" s="8">
        <v>0.6</v>
      </c>
      <c r="I15" s="6"/>
      <c r="J15" s="6"/>
      <c r="K15" s="6"/>
    </row>
    <row r="16" spans="1:13" x14ac:dyDescent="0.25">
      <c r="E16" s="9" t="s">
        <v>5</v>
      </c>
      <c r="F16" s="12"/>
      <c r="H16" s="8">
        <v>0.65</v>
      </c>
      <c r="I16" s="6"/>
      <c r="J16" s="6"/>
      <c r="K16" s="6"/>
    </row>
    <row r="17" spans="5:11" x14ac:dyDescent="0.25">
      <c r="E17" s="9" t="s">
        <v>6</v>
      </c>
      <c r="F17" s="12"/>
      <c r="H17" s="8">
        <v>0.7</v>
      </c>
      <c r="I17" s="6"/>
      <c r="J17" s="6"/>
      <c r="K17" s="6"/>
    </row>
    <row r="18" spans="5:11" x14ac:dyDescent="0.25">
      <c r="E18" s="9" t="s">
        <v>7</v>
      </c>
      <c r="F18" s="12"/>
      <c r="H18" s="8">
        <v>0.75</v>
      </c>
      <c r="I18" s="6"/>
      <c r="J18" s="6"/>
      <c r="K18" s="6"/>
    </row>
    <row r="19" spans="5:11" x14ac:dyDescent="0.25">
      <c r="E19" s="9" t="s">
        <v>8</v>
      </c>
      <c r="F19" s="12"/>
      <c r="H19" s="8">
        <v>0.8</v>
      </c>
      <c r="I19" s="6"/>
      <c r="J19" s="6"/>
      <c r="K19" s="6"/>
    </row>
    <row r="20" spans="5:11" x14ac:dyDescent="0.25">
      <c r="E20" s="9" t="s">
        <v>9</v>
      </c>
      <c r="F20" s="12"/>
      <c r="H20" s="8">
        <v>0.85</v>
      </c>
      <c r="I20" s="6"/>
      <c r="J20" s="6"/>
      <c r="K20" s="6"/>
    </row>
    <row r="21" spans="5:11" x14ac:dyDescent="0.25">
      <c r="E21" s="9" t="s">
        <v>10</v>
      </c>
      <c r="F21" s="12"/>
      <c r="H21" s="8">
        <v>0.9</v>
      </c>
      <c r="I21" s="6"/>
      <c r="J21" s="6"/>
      <c r="K21" s="6"/>
    </row>
    <row r="22" spans="5:11" x14ac:dyDescent="0.25">
      <c r="E22" s="9" t="s">
        <v>11</v>
      </c>
      <c r="F22" s="12"/>
      <c r="H22" s="8">
        <v>0.95</v>
      </c>
      <c r="I22" s="6"/>
      <c r="J22" s="6"/>
      <c r="K22" s="6"/>
    </row>
    <row r="23" spans="5:11" x14ac:dyDescent="0.25">
      <c r="E23" s="4" t="s">
        <v>19</v>
      </c>
      <c r="F23" s="10"/>
      <c r="H23" s="8"/>
    </row>
    <row r="24" spans="5:11" x14ac:dyDescent="0.25">
      <c r="E24" s="4" t="s">
        <v>20</v>
      </c>
    </row>
    <row r="26" spans="5:11" x14ac:dyDescent="0.25">
      <c r="F26" s="12"/>
    </row>
    <row r="27" spans="5:11" x14ac:dyDescent="0.25">
      <c r="E27" s="9"/>
      <c r="F27" s="12"/>
    </row>
    <row r="28" spans="5:11" x14ac:dyDescent="0.25">
      <c r="E28" s="9"/>
      <c r="F28" s="12"/>
    </row>
    <row r="29" spans="5:11" x14ac:dyDescent="0.25">
      <c r="E29" s="9"/>
      <c r="F29" s="12"/>
    </row>
    <row r="30" spans="5:11" x14ac:dyDescent="0.25">
      <c r="E30" s="9"/>
      <c r="F30" s="12"/>
    </row>
    <row r="31" spans="5:11" x14ac:dyDescent="0.25">
      <c r="E31" s="9"/>
      <c r="F31" s="12"/>
    </row>
    <row r="32" spans="5:11" x14ac:dyDescent="0.25">
      <c r="E32" s="9"/>
      <c r="F32" s="12"/>
    </row>
    <row r="33" spans="5:6" x14ac:dyDescent="0.25">
      <c r="E33" s="9"/>
      <c r="F33" s="12"/>
    </row>
    <row r="34" spans="5:6" x14ac:dyDescent="0.25">
      <c r="E34" s="9"/>
      <c r="F34" s="12"/>
    </row>
    <row r="35" spans="5:6" x14ac:dyDescent="0.25">
      <c r="E35" s="9"/>
      <c r="F35" s="12"/>
    </row>
    <row r="36" spans="5:6" x14ac:dyDescent="0.25">
      <c r="E36" s="9"/>
      <c r="F36" s="12"/>
    </row>
    <row r="37" spans="5:6" x14ac:dyDescent="0.25">
      <c r="E37" s="9"/>
      <c r="F37" s="12"/>
    </row>
    <row r="38" spans="5:6" x14ac:dyDescent="0.25">
      <c r="E38" s="9"/>
      <c r="F38" s="12"/>
    </row>
  </sheetData>
  <dataConsolidate/>
  <phoneticPr fontId="0" type="noConversion"/>
  <hyperlinks>
    <hyperlink ref="I1" location="Description!A1" display="Learn about model"/>
  </hyperlinks>
  <pageMargins left="0.75" right="0.75" top="1" bottom="1" header="0.5" footer="0.5"/>
  <pageSetup orientation="portrait" horizontalDpi="300" verticalDpi="300" r:id="rId1"/>
  <headerFooter alignWithMargins="0"/>
  <ignoredErrors>
    <ignoredError sqref="F7" formulaRange="1"/>
  </ignoredErrors>
  <drawing r:id="rId2"/>
  <legacyDrawing r:id="rId3"/>
  <controls>
    <mc:AlternateContent xmlns:mc="http://schemas.openxmlformats.org/markup-compatibility/2006">
      <mc:Choice Requires="x14">
        <control shapeId="1027" r:id="rId4" name="CommandButton2">
          <controlPr defaultSize="0" autoLine="0" altText="Reset to Default Values button." r:id="rId5">
            <anchor moveWithCells="1">
              <from>
                <xdr:col>0</xdr:col>
                <xdr:colOff>400050</xdr:colOff>
                <xdr:row>16</xdr:row>
                <xdr:rowOff>0</xdr:rowOff>
              </from>
              <to>
                <xdr:col>3</xdr:col>
                <xdr:colOff>142875</xdr:colOff>
                <xdr:row>17</xdr:row>
                <xdr:rowOff>142875</xdr:rowOff>
              </to>
            </anchor>
          </controlPr>
        </control>
      </mc:Choice>
      <mc:Fallback>
        <control shapeId="1027" r:id="rId4" name="CommandButton2"/>
      </mc:Fallback>
    </mc:AlternateContent>
    <mc:AlternateContent xmlns:mc="http://schemas.openxmlformats.org/markup-compatibility/2006">
      <mc:Choice Requires="x14">
        <control shapeId="1025" r:id="rId6" name="CommandButton1">
          <controlPr defaultSize="0" autoLine="0" altText="Run button to execute the runtime example." r:id="rId7">
            <anchor moveWithCells="1">
              <from>
                <xdr:col>0</xdr:col>
                <xdr:colOff>400050</xdr:colOff>
                <xdr:row>13</xdr:row>
                <xdr:rowOff>0</xdr:rowOff>
              </from>
              <to>
                <xdr:col>3</xdr:col>
                <xdr:colOff>142875</xdr:colOff>
                <xdr:row>14</xdr:row>
                <xdr:rowOff>142875</xdr:rowOff>
              </to>
            </anchor>
          </controlPr>
        </control>
      </mc:Choice>
      <mc:Fallback>
        <control shapeId="1025" r:id="rId6"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CB_DATA_</vt:lpstr>
      <vt:lpstr>Description</vt:lpstr>
      <vt:lpstr>Model</vt:lpstr>
      <vt:lpstr>Sensitiv</vt:lpstr>
    </vt:vector>
  </TitlesOfParts>
  <Company>Oracle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Crystal Ball</dc:creator>
  <cp:lastModifiedBy>apweber</cp:lastModifiedBy>
  <dcterms:created xsi:type="dcterms:W3CDTF">1999-03-13T17:46:08Z</dcterms:created>
  <dcterms:modified xsi:type="dcterms:W3CDTF">2014-09-04T19:29:57Z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