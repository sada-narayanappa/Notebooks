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65" yWindow="195" windowWidth="13650" windowHeight="11235" activeTab="2"/>
  </bookViews>
  <sheets>
    <sheet name="Description" sheetId="1" r:id="rId1"/>
    <sheet name="CB_DATA_" sheetId="28" state="veryHidden" r:id="rId2"/>
    <sheet name="Model" sheetId="2" r:id="rId3"/>
  </sheets>
  <definedNames>
    <definedName name="CB_0c3bff29fb50400c8d946ba0242ef944" localSheetId="2" hidden="1">#N/A</definedName>
    <definedName name="CB_Block_00000000000000000000000000000000" localSheetId="2" hidden="1">"'7.0.0.0"</definedName>
    <definedName name="CB_Block_00000000000000000000000000000001" localSheetId="1" hidden="1">"'635349880611478633"</definedName>
    <definedName name="CB_Block_00000000000000000000000000000001" localSheetId="2" hidden="1">"'635349880611408629"</definedName>
    <definedName name="CB_Block_00000000000000000000000000000003" localSheetId="2" hidden="1">"'11.1.3906.0"</definedName>
    <definedName name="CB_BlockExt_00000000000000000000000000000003" localSheetId="2" hidden="1">"'11.1.2.4.000"</definedName>
    <definedName name="CBCR_COL_0" localSheetId="2" hidden="1">Model!$F:$F</definedName>
    <definedName name="CBCR_COL_1" localSheetId="2" hidden="1">Model!$E:$E</definedName>
    <definedName name="CBCR_COL_2" localSheetId="2" hidden="1">Model!$D:$D</definedName>
    <definedName name="CBCR_COL_3" localSheetId="2" hidden="1">Model!$C:$C</definedName>
    <definedName name="CBCR_COL_4" localSheetId="2" hidden="1">Model!$B:$B</definedName>
    <definedName name="CBCR_da03f4b4e565489dba3f1ac9f8110ef7" localSheetId="2" hidden="1">Model!$B$4:$F$64</definedName>
    <definedName name="CBWorkbookPriority" localSheetId="1" hidden="1">-1334793380</definedName>
    <definedName name="CBx_8a126c2a9e184a46b7beb22a4a54cf13" localSheetId="1" hidden="1">"'Model'!$A$1"</definedName>
    <definedName name="CBx_920614759fb149bcac1e1c1733bcfd15" localSheetId="1" hidden="1">"'CB_DATA_'!$A$1"</definedName>
    <definedName name="CBx_Sheet_Guid" localSheetId="1" hidden="1">"'92061475-9fb1-49bc-ac1e-1c1733bcfd15"</definedName>
    <definedName name="CBx_Sheet_Guid" localSheetId="2" hidden="1">"'8a126c2a-9e18-4a46-b7be-b22a4a54cf13"</definedName>
    <definedName name="CBx_SheetRef" localSheetId="1" hidden="1">CB_DATA_!$A$14</definedName>
    <definedName name="CBx_SheetRef" localSheetId="2" hidden="1">CB_DATA_!$B$14</definedName>
    <definedName name="CBx_StorageType" localSheetId="1" hidden="1">2</definedName>
    <definedName name="CBx_StorageType" localSheetId="2" hidden="1">2</definedName>
    <definedName name="SaveZCBF_RegFore1" localSheetId="2" hidden="1">"0"</definedName>
    <definedName name="SaveZCBF_RegFore2" localSheetId="2" hidden="1">"0"</definedName>
    <definedName name="SaveZCBF_RegFore3" localSheetId="2" hidden="1">"0"</definedName>
    <definedName name="SaveZCBF_RegFore4" localSheetId="2" hidden="1">"0"</definedName>
  </definedNames>
  <calcPr calcId="145621" concurrentCalc="0" concurrentManualCount="1"/>
</workbook>
</file>

<file path=xl/calcChain.xml><?xml version="1.0" encoding="utf-8"?>
<calcChain xmlns="http://schemas.openxmlformats.org/spreadsheetml/2006/main">
  <c r="A11" i="28" l="1"/>
  <c r="B11" i="28"/>
</calcChain>
</file>

<file path=xl/sharedStrings.xml><?xml version="1.0" encoding="utf-8"?>
<sst xmlns="http://schemas.openxmlformats.org/spreadsheetml/2006/main" count="62" uniqueCount="59">
  <si>
    <t>Toledo Residential Gas Usage</t>
  </si>
  <si>
    <t>Date</t>
  </si>
  <si>
    <t>Occupancy Permits</t>
  </si>
  <si>
    <t>Average Temperature (Degrees F)</t>
  </si>
  <si>
    <t>Cost of Natural Gas per ccf (Dollars)</t>
  </si>
  <si>
    <t xml:space="preserve"> </t>
  </si>
  <si>
    <t>Author</t>
  </si>
  <si>
    <t>Summary</t>
  </si>
  <si>
    <t>In this example, you work as a forecaster for the Residential Division of Toledo Gas Company. The Public Utilities Commission requires you to predict the gas usage for the coming year to make sure that the company can meet the demand. You have four data series, and usage is dependent on the three independent series. You will apply Predictor and multiple linear regression to create a usage forecast for the next year.</t>
  </si>
  <si>
    <t>Discussion</t>
  </si>
  <si>
    <t>For regression, Predictor uses a technique called HyperCasting™, which in one easy step:
1. Creates an equation that defines the mathematical relationship between the independent variables and dependent variables.
2. Forecasts each independent variable using time-series forecasting methods.
3. Uses the equation it created in the first step, combining the forecasted independent variable values, to create the forecasts for the dependent variables.</t>
  </si>
  <si>
    <t xml:space="preserve">Through research, you know that your residential gas usage is primarily affected by three variables: new home starts, the temperature, and the price of natural gas. However, you aren’t sure how much effect each has on gas usage. Because you have independent variables affecting a dependent variable (the variable that you are interested in), this forecast requires regression. </t>
  </si>
  <si>
    <t>In this model, there is one dependent variable for the historical residential gas usage. The independent variables are:
- Number of occupation permits issued (new housing starts)
- Average temperature per month
- Unit cost of natural gas</t>
  </si>
  <si>
    <t>The three empty worksheets, stats, output, and data, are for use with the Forecasting macro for the Predictor Developer Kit exercise below.</t>
  </si>
  <si>
    <t>Using Predictor</t>
  </si>
  <si>
    <t>To run Predictor, select any cell within the data series in the Model sheet and start Predictor from the Run menu (or Tools group in the Excel 2007 ribbon).</t>
  </si>
  <si>
    <t xml:space="preserve">Predictor presents you with a simple, five-tab wizard. You can use the Next and Back buttons to move through the tabs, or you can select any of the tabs at the left of the dialog. The first tab, Input Data, helps you to locate and define the layout of the data. </t>
  </si>
  <si>
    <t>The third tab, Methods, let's you select which time-series and regression methods Predictor should use on the data.  Based on the seasonality information from the Data Attributes tab, some of these methods may be pre-selected for you.  To learn more about a method, double-click on the method icon to open a description window. Experienced forecasters can also use these windows to manually enter their known method parameters.  Since this example has multiple data series and you are trying to forecast the dependent variable "Usage", select the Multiple Linear Regression option.  In the resulting Regression Variables dialog, choose the "Usage" variable and move it to the Independent Variables list.. Click on OK to continue. Make sure that Standard regression method is selected, the "Use constant in regression equation" option is on, and the other options are off. You can learn about the other choices in the Oracle Crystal Ball Predictor User's Guide.</t>
  </si>
  <si>
    <t>The final tab, Options, lets you select which error measure to use (for selecting the best method for each data series) and the forecasting technique.  Leave these option set to their defaults of RMSE, and Standard Forecasting.</t>
  </si>
  <si>
    <t xml:space="preserve">When you're ready, click Run.  </t>
  </si>
  <si>
    <t xml:space="preserve">Predictor will run the selected forecasting methods on all of your data and display the results in the Predictor Results window.  The Results window shows a graph of the historical data, the fitted data, the forecast values, and the confidence interval.  You can view the forecast for any of the series by selecting the series from the Series list on the bottom of the dialog.  You can change how far into the future you want to forecast (e.g. number of time periods ahead) and the confidence interval you desire (e.g. 5% and 95%). </t>
  </si>
  <si>
    <t>From this window you can also paste the forecast values into your spreadsheet, create a report of the results, and extract the results into Pivot Tables for further analysis.  If you plan to use the forecast results as inputs to a Monte Carlo simulation, you can also choose to have Crystal Ball assumptions be pasted to the spreadsheet.</t>
  </si>
  <si>
    <t>Using Predictor Developer Kit</t>
  </si>
  <si>
    <t xml:space="preserve">You can also use this example for the Predictor Developer Kit, a set of macros and functions that let you customize the use of Predictor. This example contains a pre-written macro named PredictorDevKitExample that you can run by selecting Macro &gt; Macros from the Tools menu, and then clicking on the Run button.  </t>
  </si>
  <si>
    <t>This example demonstrates how to set up a Predictor forecasting definition, access input series statistics, run a forecast, and access the results.  This shows how to set some of the properties available through the Predictor Wizard and how to access the statistics and data views available from the Predictor Wizard and Predictor Results dialogs.  This example code is not a suggestion for what settings to use for best forecasting results on this model.  The code is intended to demonstrate the Predictor DevKit API and how to use the various interfaces.</t>
  </si>
  <si>
    <t>To view the code of the macro, click on the Edit button in the same dialog. Once the macro has run, you can view results on the stats, output, and data worksheets.  After you are done you can run the ResetPredictorDevKitExample macro to reset the model to the default state.</t>
  </si>
  <si>
    <t>Note: If you encounter a problem running the macro, it may be that you have not selected Predictor as a macro reference. To select Predictor, open the Visual Basic Editor from the Tools menu, and in the Visual Basic Editor's Tools menu, select References. Check CBCOMDevKit in the references list and click on OK. Then close the Visual Basic Editor and re-run the macro in Excel.</t>
  </si>
  <si>
    <t xml:space="preserve">The Method field in the lower left of the dialog lists all the methods Predictor tried, in order from the best-fitting method (designated by the word "Best") to the worst-fitting method. Predictor calculates the forecasted values from the method that best fits the historical data for each series. You can override the Best method by clicking on the Override Best Method button. </t>
  </si>
  <si>
    <t>The next tab, Data Attributes, allows you to specify additional information about the data, such as its type and seasonality. In this example, the data is in months and contains a mix of seasonality, with some series having a seasonality of twelve months and other series being non-seasonal.  On this tab, you can also view the seasonality information in greater detail by clicking the View Seasonality button, define special events such as marketing promotions and so on, and screen the data for missing values and outliers.</t>
  </si>
  <si>
    <t>ARIMA</t>
  </si>
  <si>
    <t>The ARIMA method fits best to several of the data series in the Toledo Gas example.   You may refer to the Predictor User Guide for additional information on this method.</t>
  </si>
  <si>
    <t>This spreadsheet is also used to illustrate the ARIMA (Autoregressive Integrated Moving Average) feature in Predictor.  ARIMA is an advanced  forecasting method that is used to predict a wide variety of historical data patterns, such as oil prices, interest rates, sales revenues, natural  fluctuations in physical occurrences, and so on. This forecasting method is also known as the Box-Jenkins approach.</t>
  </si>
  <si>
    <t>Usage (ft3)</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</si>
  <si>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</si>
  <si>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</si>
  <si>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</si>
  <si>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</si>
  <si>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</si>
  <si>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</si>
  <si>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</si>
  <si>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</si>
  <si>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</si>
  <si>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</si>
  <si>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</si>
  <si>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</si>
  <si>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8a126c2a-9e18-4a46-b7be-b22a4a54cf13</t>
  </si>
  <si>
    <t>CB_Block_0</t>
  </si>
  <si>
    <t>Decisioneering:7.0.0.0</t>
  </si>
  <si>
    <t>CB_Block_11.1.1000.0:1</t>
  </si>
  <si>
    <t>Decisioneering:11.1.1000.0</t>
  </si>
  <si>
    <t>92061475-9fb1-49bc-ac1e-1c1733bcfd15</t>
  </si>
  <si>
    <t>Learn about model</t>
  </si>
  <si>
    <r>
      <t>Note:</t>
    </r>
    <r>
      <rPr>
        <sz val="11"/>
        <rFont val="Calibri"/>
        <family val="2"/>
        <scheme val="minor"/>
      </rPr>
      <t xml:space="preserve"> This example is presented in the tutorial section of the Oracle Crystal Ball Predictor User's Guide. The tutorial provides far more detail than this description.</t>
    </r>
  </si>
  <si>
    <r>
      <t xml:space="preserve">Keywords: </t>
    </r>
    <r>
      <rPr>
        <sz val="11"/>
        <rFont val="Calibri"/>
        <family val="2"/>
        <scheme val="minor"/>
      </rPr>
      <t>usage forecasting, multiple linear regression, ARIMA, dependent gas, residential, utility, error, Predictor, Developer Kit</t>
    </r>
  </si>
  <si>
    <r>
      <t>Copyright Information</t>
    </r>
    <r>
      <rPr>
        <sz val="11"/>
        <rFont val="Calibri"/>
        <family val="2"/>
        <scheme val="minor"/>
      </rPr>
      <t xml:space="preserve">
Copyright © 2004, 2015, Oracle and/or its affiliates. All rights reserved.
Oracle is a registered trademark of Oracle Corporation and/or its affiliates. Other names
may be trademarks of their respective owners.</t>
    </r>
  </si>
  <si>
    <t>㜸〱敤㕣㕢㙣ㅣ㔷ㄹ摥㌳摥㔹敦慣敤搸㡤摤㑢㑡㘹つ愵ㄴ敡攰挶㘹㐲㈹㄰㠲㉦捤愵㌸戱ㅢ㍢㈹〸搰㘶扣㝢㈶㥥㘶㘷挶㥤㤹㜵攲㔲愹ㄱ戴㕣挴㑤㉡㔰㔱㈸户ち㈱㈱㈱㉥㉦摣㕦㤰㤰㐰愸㐸㍣㠰㄰ㄲて〵㈱㜸〰愱㐸扣昰㠰〴摦㜷㘶㘶㜷㜶搷㍢㜶户㉤戸挸㈷摤摦㘷捥㙤捥㌹晦昵晣晦㤹收㐴㉥㤷晢㌷ㄲ晦㌲攵㤹戹㘹㘹㈳〸愵㌳㌹敢搵㙡戲ㄲ摡㥥ㅢ㑣㑥晢扥戹㌱㙦〷㘱ㅦㅡㄴ捡㌶敡〳扤ㅣ搸て换㘲㜹㕤晡〱ㅡ改戹㕣戱㘸㘸愸攷㈰晣㡤㈴て〶㝢つ收〱㤶㘷㘷ㄶ㔶ㅥ挴愸㑢愱攷换晤攳攷愲扥㐷愶愶㈶愷㈶敦扡攷挰ㅢ㈷て散ㅦ㥦慤搷挲扡㉦㡦戸戲ㅥ晡㘶㙤晦昸㘲㝤愵㘶㔷摥㈱㌷㤶扤㡢搲㍤㈲㔷づ摣戵㘲ㅥ㝡搳搴愱挳㠷慤㝢敥㜹搳㈰㕥㥤㍢㍤㍢戳攸㑢㉢㜸㤱挶搴㌹攵㐳㜳戲㘲㜳㙤㔲晡戶㝢㘱㜲㜶〶晦愵收㡦愷扢㈷㤷㔶愵っ昹㙡改㑢户㈲〳〳ㅤ〷㥣改㈰愸㍢㙢摣㍣挳㌹㠶愵㔶捣㈰搴㥤㔹㔹慢ㄹ㑥㌲㙡搱㔹挰摥搵捣㡤㐱㘷㐹扡㠱ㅤ摡敢㜶戸㔱㜰㤶㌱㔰㜵挸㌹ㅢ挸㌳愶㝢㐱㥥㌶ㅤ愹㍢挷敢㜶㌵ㅦ愵㕣摦敤挹㄰改㠹愹攵㑦㑥〷捥散慡改慢ㄹ〵摣㤸㡣戶挷晣㑡㙢摢㕢扢㡦换愹慢㌷㜰捣摢扡户㐳捤㌹搳㙦戴㥣攸摥㌲㕥㝣敢っ敥散摥㍥戵㐷慤㝤㕥摦扤㡦摡捡搶搶㘲㈰愶㙦戵愳㔸㡣㔱㈰攸㈷㈸ㄲ㄰㠱㐶㠹㘰㠰㘰㄰㐰攴晦〱㉥㐹㜷㘴㤵㔶㌶戵昲㡡㔶慥㘸攵慡㔶㤶㕡搹搲捡ㄷ戴昲慡㔶戶戵昲㠳㕡昹㈲摡㈴愹搸摦慦挵改ㅢ㑦㝡戵㉢㠷㝥㍢晦㤵改㍢挷づ㠵摦㌳〶昷愰搱晤昱愴收㝣昳ㄲ㐸慤㐹挵〷㈷て昰摦搶㕣〱愶戰づ㕢㜷㕢㔳㔳搵挳〷捣扢㑣㥤换捡㐰㝥ぢ愱㡣愰敤愰昵㠰敤㔶扤㑢ち㜷㌷捤㤸㠱㙣㙥摣㐴㕣㌷攳搵摤㙡昰㡡捤㉢㤷㐲㌳㤴㌷戶搷㌵〷改攸戶〴戶㤲㠱㝡摦捤敤摤捥㤹戵扡㥣扥㙣㐷搵慦㙣慢㜶ㄶ㝤㙦愵㝢敤㌱㕦㍥搴愸敤㤸搱㌴㠴摡扡ㅡ扢㘳㤵㔱㔵㌴慦昱搹㔵㉦㤰慥㥡摥㠴戳㘸㔷㉥㑡㝦㐹㔲㈴捡慡㕡敡戵慣㡡戹㝥㘲挱挵㐲挱慤搵㔷愷㑢慤㝢㉦㠷㘰㘶㔹挵㝣搷愴ㅦ㙥㉣㥢㉢㌵㜹㕤㑢㤳攸㥤愸搸搷㔲㝣捣慢搴㠳㔹捦つ㝤慦搶㕡㌳㕤㕤㌷㈱㘹慡愷扣慡捣攷㜳㑡㈸㐰攰昶昵〹㤱扢愳㍢㉦㈸㐴愴㔰㑣㐶扥愱㤵散㈶捦㘰㜵㔸㐵㑤㤲㈶戵搷㙣㌱ㄸ攷慢㘴㑣〶〷愶搶㐴晤挱㤷扥㙥㡢㘱ㅢ㤸㝢㘹ㅢ㙢摡㘸扣晡㝢搷愵ㅢ㥥㌰摤㙡㑤晡㤹摡㑦㜰㐶挶㌰㠰㝥ㄵ〲愱敢敥㔱搵㠹换㘲㐳扦㘴㔷挳搵挲慡戴㉦慣㠶㈸㠳㠶㉣ㄶ戹戵ㅤ挹戸〶㐵挶㕥㠲㔱㠰㔲㈹㔷ㄸ㘳愳㐲〹㈹愷㔳㍡㘵昰㜲㡢㈰㘷扦ㄶ㕥ㅥ戴㡥搹戵㔰㐶㐲㜹搸〲㐶㈲慤愶搰㌷㐴ㄲ昵捤㑡愴㌰挶慣㔹㔰愹㘹扢攱㐶㤳㙦㍢戸㈴㈲愲㕤㔹戰攳㘴〱㐵㐱慢㍣挸攰㌵㄰㑤㥢㌴挸㙥㥣㈲㈲戲㐱㠶㘶挷挸慤㐴挶昶ㄹ㌲〲敤搳㐴挸搶〷扡换〸ㄲ㝢㈷㤱戲㔳㔷㝥摣㤵㘶㥢搹昲㤱㌴扢ㄶㅢ㘷㕣㐷㜰㍤挱つ〴晢〰挴㥦㈱攱㈸攵㤰㙦㑤挶㉢昰㙣摣㐴昰㑡〰挸㈷㠳㌲㈷ㄶ㔵戴愱戶㘳㐷戲摤㄰散㘴㘵ㄴ㐷愲㠸㤶㜱挳捥ㅣ㜲ㄴ愲㘳慢㜳㘷攸摡扣搲戱慦敤㑥㥢改攵㤰㈲㌳㥡愶搷扡㐵搳昴㐶戰㘹㡦㝡敢ㄶ㜴㌵挶〹㕥〵㔰㌲㕥㑤〸攵㐲㠳㜷㝢ㄶ㍤㑤捡㤷㠵㔹ㄴㄹ㐳㍤㉡昸㤸㤰㜹〴挸㄰㜲ㅤ挷㤷㕤ㅢ㥡收攰㠴昵戲户愱昷㜷攷敦ㄸ改㙤㝡㜳㔷敦搰㕦昴㍣慤攸㕢挱㕥攲昷㕤㜵捣㙤愸㌶㕥㑢㜰㍢㐰㥢㡥攱改晢昹㝡ち㤴㔹散愴㌰户㤷㕥ㄷ㘵攵㉥㙦慣㐹愵㠱〶慤㘵搳扦㈰㐳㜸㌰㑥捥挱ㄶ昶㝣㕦搶㜰愸慤慡〲㥥㕦慥㙦㉤っ㡥昹㥥挳昲㕤ㅢ㌹㜸㔹㈸㠶㝣㕥敢换戵搹挸ㄹ戶㘶捡攷㤴愲ㅣ敡攰扢扡ぢ㠹㔴愷㔶昲㘲扦散昳攵慥㈴改㐱㤲扣ㅥ摢㙡摣〱〰㈹㈱㝥搳㔵愲散㘷戳㌷愸㘶慤ㄶ㉢㍤㝣ㄹ愷㤳㌶ㅦ㘲㠷ㅣㄹ㠸ㅣ戶㌳昰ㅦ〴㐳捥㤲敤㌴㠴挵㠰戳㈸晤ち㝣ぢ㜶㑤㤶㈲户㉣㐵捤慥慣㜸㤹挸㡡扥扥㡥昳㜴㠶㝦㑤搱㐹㥢㤴挸攴昶捣捡㡣戳㜸㤳愸攸㠶愴㔰挹㜰つ㌵㈴㄰㈹㡦㙤㜷㐵㑣て㈲收㑥㙣㥣㜱㠰㘰㡡攰㈰㠰晥㑢㐸㥡敤㙥㍣挳㘱晤敢㜴㘹㤷换戹㈲搱愰㕣㠴捦㜶ㄵ㔶㠷昹㥡㌷ㄲ摣つ搰㘶晥搰〱㤹㐱㠸ち攵㈹㐲㔴㘱っ敢㥣㉤㉦㤱〶昶㔸〸㉣捤搶㠳搰㜳ㄸ㔹ㅡ戲收扣搳㕥㌸㘷〷㙢㠸㐴㡤㕡㜱收㠱㔵改㠲扡㝣搸㍥㙤㘵摥摡㥡慣ㅡ搶㤲㔷㠷㘸㍢㌹户ㄳづ收搸づ搸㤲敡㙣慥〹愴摥捥挷ㄸ㐲㘰愷㤵扦㤵摥搸㙤㜹扦㜹攸ㅢ㙥敥攸戲ㅤ搶攴㠰ㄵ㌱ㅤ昳㐵ぢ扢㠸挸㐱戵摦㕡㕥昵愵㥣ㅢ戲㡥晢㜶戵㘶扢㤲挸㠰㡤挹㘰摤扣扣㠰㈸挱愲挷ㄸ愰攷づ㔹换扥改〶㙢㈶〳㡡ㅢ㝢㕢㥥㔴㔸㐴户㘶㙣㌷挰㙢ㄴㄶ㤹ㅦ戶㤶㔶扤㑢㠸搸搶ㅤ昷戸戹ㄶ散〸慣㤰攸愳愴㔰㈳㌴愱㘹愲愸ㄵ㝢挵てて攴戹ㅣ㜹㉦㑦愰㜰㤵搳改㌳捦搰摥戴敢攳ㄸつ敤㜴捥㘹㄰搱愳㐶㘱㕦愶ㄴ㈶愷ㅡ昷戰捦㥢〱敥㍢㝥昶㘴㌳㌲昷㠲㘲搶㍡扤晣ㄹ㌲㕥㤱㐵㈳㄰㐲ㅦ摤㥥㠸㔴㔸㐶捡〱〷〲攳㝣㙡㈷扦㤲愵摡㤰晡昶㌴戳挷㄰㐹ㅡ戴收捤ㄵ㔹㐳㍣摡㌱挳㍤搱〳捤㔸挷慣〵㜱摤慣攷㌸㈶㐹㡢㘴戹㔴㌱㐹挱搳昵搰㍢㘵扢㠶〵愰攸㉦㉥㌲㉦愳挸扣慣㡡〶慤㌳っつ慡㍣挷昲㉥㤸扥ㅤ慥㍡㜶愵挸〷㠶敦㜶〴㑤㠲挹㈹㜹㤳㤴挸㡣昱㌶㙢晥㉣㑣戶㘰ㄲ攸㥥㠴ㅣ攵搶ㄱ晤愰㕣㑤ㄴ昰㑦昴攸㔸㠲㠰㔱㥥㔲攳慤ㄸ㑤㔷户㈳㈰㜲㔴扡㥡摣挱戸晡㈸㑡㈲㈱㐴慣㘷㤰〸扣㠲㈹㈱㑦ㄷ㜷挱㍡敢摡㈱戰㐷㡣ㅤ戳挳戹〰㈸〷㐰㔶ㅤ㙦㙦㔴㔸㑤㜵㥡㘸㘸㠵㕢㍡慢㕡搴挴捤㥤昵㘹扤昱㥡㑤慡㈳㡤㤲㔲㈴㕢㌵㔲㥡㘵㤳㌹敥㈴㔵㈳㤴攲㑥戴㡤挸㜲㥢㌶昷㥤㔲攴〵㈸㈶㐵㌳㌹攳㙤㡡㔰㄰攸㡤㜵ㄴ㝤昶搹攴㤱㡡搸搰〶㈸㔱㑦㐵㘵㐳㜱㐸昰㈴慥㥤㔴㘵㈹㝥〲㝦敦㠹戳ぢ昵戰愵挶扣㍣ㅡ搷㑣搷㙡ぢ㉥慣㠴㡡改㔷㜷〸㑢㘳㙤㤱㠶㔱摣搹慢昶㡦戶㌷挵㠸㌱ㅢ㌲㉣㤲攱〷〶ㅢ㠲戹㔲ㄱ㔵㕡㘷㐳摣敡㐶㜱㤱㑦愷愴改㉡っ㉣㠵搵㌹戹慥捣戰愶㈵㍦慡㍡㌴㑥㡢㑡㡥ㅡ搶昴㑡〰㤵ㅥ㔲㡥挷㌹挵攰㠶㜵㠶㙥㈹㕣㘲㠰搸㡤㜳㡢㤵㄰愱摤挶〰㍣ㄹ散ㅣ散㘰㐷愲搰〹慤㌳㑡搰㐲〶攱戶㉥㠲扣搳㈳㐶㈱㐸㉤㤵晥㝥㔴㝣敥㈹愶慦ㅦ捤㈵㤹㤸㠹ㄸ敥捡戰ㅥ㠰摣㜴㘴㤲㕣㌴㥡〴捣㈳挹愶㠴搶㘰㔲㐶ㄳ㘳㠸㈶㥦ㅦ攲ㄶて㘳㔹挳㘴㥢ㅡ敥戹㠵㌶戴㘹㙤㘳㡦㜵搲慤搴敡㔵愹㔴㜱㈲慢㤵㐶摥ㄱ昸㔲㔷〰㈳㙥捡搸㤷㜸㔳㑥攲㈸挵㈵ㄳ㐹扤摢摤挶㔱㜴㔷㐲づ㘳㐴慡㡦〱挸っ户㥣ち㠸㜵摣㔳愰㝤戸户㜹㠱㐱㕤㥥㠳㐸敢㈸愲㉣㥢挷㝤扣㐶ㄴ㔹㜱㕢慡搹扣㌷敦搱㘶㑦ㄵ㥤戰愳愲ㅤ㠱㈳慣㌳ㄲ㜸㠵〲㡣㤱ㅥ戹㠳㠳攴慥挶搱摤慢㡦慡挷摣㔵愰㐲㘱㐰㌰挶换㔳㔰づ扢ち㐶愲挱慤㌵慤㙥挱攸㉦㉤㙦㘳ㅡ㐰㌰っ㑣㠳ㄶ㉤㈳〳㘷ㄶ昹慤つ㥣㕢搰㉡㈳㐲㥡づ愶㌲㐶㌹ち㠷㍤㤰〶㙥攲㐱㝡搹㠳ㄲち挷搴挵戰攴㙥攲㠴㠳㈳㤰攷㕦搷㔶戸㘸㠶戸晥攲敥㙢㉢㥥慥㔶㘹敥挲㍦户㈳戰㡡慢ㅢ㤱㌹㍡搶㜶㈹㑢慤㠹昶摤慤㙤ㄵ昱㘵挱㠳㜳㤳㈷捣戰戲扡ㄴ㙥㐴ㄷ户㝡㈵〹晤挷昰㐷㙣晡㜶摡捣㜹㤷ㄷ㔱搷戹昷愵㡢慥㜷挹㔵昳搲〳摥晡〳㠵攰ち㘵㍦㈷㔹捡晤ㅢ晦㔴搲㜲晡㡦㌰攲㜶愶捤〱㥡づㄲ㡥愳㔲㈴つ挶㤱捦愰ㄳ搸敥㡤㕢〳愴㤳戱㌶㍡㔱㠲㘰㤷㔰摣ぢ㉦ㅡ愱㠸ㅦ〲慤㈴㤶攸㐸㡥㍤晦ㅡ㔸㕦晣〰㈵㐴㌸㥥㘳㌱愲扦ち戹っ搴㈹㐱ㅥ㕦昱攰㠵㤰晦ㅦ㉣㈵摣扣㈹㍢晤ㄷ㤸㔹㝣扦ㅤ㐵㌷ㄳ㐵摦敢㐰㤱攰㌵㄰挵扦昷㈱㤳㈴㥤攱搹攷ㄵ〸攷㥡㜶て愰㉦昹㠵摦晦攱〱㜴㍥㈶づ㘵愳㈱搴㜶ㅢ㥥ㅢ㈶㐲㕦㠷㠹挰攰扤㌲ㄱ㑥㈱㈳ㄸ挵㡦㑣㠴搸〷戲㠰㠲慤㑤〴挶昶㌲っ挱㔴愸㌵攵搶攰〹散㍡㠷晥戱ㄳ戸㜸㉢〳挴昳愱戴㠲㔹㜸愴慥敦㉣㕥㌴㝤搳搹愷捡㡦晢ㄲ捡捣㕦挶㑤㙥搵㠵㍤㙥摣戴㐶㜵摡挴㔷㤱㜸搹㜷晤㈹摢扢扦づ㑣㐵㈹㜲摦㡢愲㈸扣〰㑦㠹攰戹㈱昷扥戱㙦ㅥ晦挳挳㡦ㅤ攵㙤戵㤸㔶昵㍢㤰敦㈵㘴㑦㝢〲㐱摤搴㐵㤱㙢昹㘱捥㈹㝣愲㘴慦搵攴㡣改㉢㉢㈸㌰㥣㈴ㅢㄱ㕥㡡㌰㈳攲摢〹㈶㈶敥㍤㐴㈶收㘴㥢扢㔳㝤搸愴㕣㠴㤳愹㠹㉢㥦㕥ㄲ㌶ㄴ㕤ㄵ㔹㡦搶愶晥㙤愸愲攷㌹㤱㔶㉢㤱愷㑥㈶㈱扥搵慥敢づ㔳搷㐵〷ㄹ㠶晤ㄳ㈹㠵昸〳㈹㈴㝤㤰攱㠵〰㈵愵捥㈰愳摦〹㤰ㄱ㔹㙢て昱搲ㅦ戰㉢〴㘴攳搲㕦㡦ㅦ戱㘰ㄷ㠱挵挴ㄷ摦敢㠹㤶戶㘸愲㥡ㄸ慡㔵㌶捤ㄲ㌲敡昰挲㠲愹愴㜴ㄹ㤹㈴改〷㤱摢戶㍢㡡㉦ㄹ㜲愲挰㕢挴搸扡㐳㕦㕢挹戹搷慤攳收〷昴㑣㐱㈹っ㜷㉦㡢㜱㈰㔵㌱扡愸㘹㈹㉡㈲ㅣ㡥戲㡤㑥〳㜱ㄵ㜴㤶扢て愷㔲〴晦昸愵㄰敢㈷㥡㐳㕦摢㕥㐳ㅤ攷昶㘳㠱晣挱晥扡㌹㠳戱昱㔶㜲っ㈴散戶㕡ㄵ愳敢攱㘷搱㠵㡢捥〹愳㤹㔵捦攲㌰晥㈴㥣搵愷㜵攸㝦㐶慦ㄵ㘷㥤㘳㙦㠶戱㕢昴晦㍢㔱戰愵晥ㄷ㡣扤㈹㐴扥㉢捥昰㐱㘷晣㘴换㤰つ㜷〴㥥㙤〴㙦搴挱搸㔰㔹㠶扣愳摣ㄲ㍥㕥㡤慡㤵〴㠷摦㉢摦㝥㌵愲搱㤷戶敤㐰㔷〱挸搸㤰晥㌵㠸愰慥晤㕢攵㔶㜲扡㉤扣ㅢㅤ挷㑥搹ㄵ摦ぢ㍣㉢ㅣ㕦㐲搰㜷㥣摦㥥㔹戰㜹愶挵㔷摢㠵摡慤搸㠹挱昷愲捦改〵〸散搳㌲㝣戱㘲㤱㡣㉣㙣㉦㤲挱敦㤰㐶㔲攱㈵㙡㠷攰ㅡ敢晥扡㔹挳愷慢ぢ昰㜵㠶㉣摡ㄱ捡㉥昲㌸户摦搰攰搶攱㡥搶㍢攰て㤲戵㐹〴挷搴ㄲ摥晤㕥敥㙢晢ㅥ戴戶㡤搷ㄶ戰㘵㙦㍥户㤲晥っ㜰扡扤户戴㤲っ摦挹㉦㤲㑢㐶㤹㄰㤷昶㡦攲敦昶ㅤ戴ㅣ㙤ㄴ㜴ㅥ㝦搰㑤㐷搸㐴つ敥戳㙤㐴扦捦愳慢㤸㈶挰捦㌰攳っㅦ〴扤㝣㘴㐵昱㐵㉣㡢っ㠰㝣慥㔰〱攸㑥搵㑦㙦㐶搵㈳昷戱㈷㤲攰ㄹ㠳攴㔸ㄲ㥦㐷㐳㙥㔷戴㙣戰〴㤷㉤搴㔹〲㜹㈳改㠱㝣㑥昰㉣愱㈶昲㔹㜴㘸㑣挴㐶㘹昷㠹㍣戹搹㐴〴慤〰戵搰昴昸㈳㠹ㄶ㌱㙡愸㌶ㅣ〲㤷挰〳ㄸ㐹㤴挹㌰攵㈳㠵㑥㈱㡡㌱晣㠰㈸㐲晡㔵晣昷戹愳扦㝣㤶改㙦㐷㠵㤲㠸愸㙡㕤〵㈵愲㕡挵㈷搳慢昰㔱摡㝤ㄵㅦ摦㙣ㄵ㈳ㄴ㤶㥣㠹ㄱ〲っ昵㠹㌲晥愸㔵搵㤱攱㠶昲㈷捥ㄳ攰搷㌲㡢ㄱㄳ㈵慡敦㈵㘴搰㤷㍢慦㕡㕤㐶㈶改慢㜳㈳㌲扥昲㔱㠶ㄲ㙦㐴搲愹㔳㠸扣戲㠵㐸㍤ㄶ㥤搸ㅤ扢㈳㠴〴㤶挴捦㘶扢捡昶㐲㡦愱㝥昱愱〴㌱㈷㑥㈴㥦㔰㘹㜱昰〹㠴ㄱ㤹愶㈴㈴㙥愴昸㘰搲昸㍢摦㙤晡㑥㔱㠱〴敡㠹ㅡ㤳攰㔴攳挷㤳挶〷昱㜹㤶㙡㤳攳㔵〲愶攷㤲挶㈴㑣搵昸戱愴昱㕦て敥㙢㌴㑥攸㌰ㅡ㔹㈷㤱㘴ㄸ扤敡ㄸ㤰晡㔴㝢ㄸ捤㜵㡢㡡㜴挰㡡㡡㈹㐲㔵っ戹愶㔴改㈰㙥㠵昸昸㔸㝡ㅥ㤷㥣㜰ㄷ〴搲㌶晡㝦㈶㥣挴攵愷㌹㌳㌴昱㉤昴㍡愲捥扥愱㥥搸戹㘰㉤昸㈸攸户㑥〶㌸㕣㔵㜷ㄴ㠹挰㉥挸㐷晢扢㠵㜷㍥挳㠶㙣敥㐷ㄲ㉤搳㜸㤹愴㌷㉤愲㈲㉣㜹昱晥〴戳戹㉢㑤㥡㌱ㅥ〵㜲㈰㈶〱㤹㌱慥〰㐶ㄱ㤹㌱ㄶ㡣㤰晦ㄵ㜳扦㥦ㄵㅦ㈰㜸っ愰㈴挸散愴㠳挲攳〰挳挹晦戱㘲㝣㕤㌹㑥㌴昱㜰昲戲㌴ㄹㄹㅦ㘲㠷て〳昴挱㡦㉢㘲㈲㉣ㄹㅦ㐱㐹晡愵ㄴㅣ敡愵ㅦ㘵挵挷〸㍥づ㔰搲㌹搹㙤敦ㅡ搷搴愳ち晢〴扡㡡㉢〴昸ㄹ㥦㡣㌳㝣搰戹て㙦改㙥㌴昳㑣㥣㝣攱㡦㤸㘷换愷晣昷攲搳晣つ㉥扡て晦㘷ㄲ㕤㔹昸㜹敤捤扤㡤㐵㈶愰㜱慥㝥㙢搸散ㄷ㌰づ搷搵っ愵㜰㐴㉡㤵愲㔶㄰挴㌷ㄷ㉣㍣扣㠱㙦㌹愲㉡㠴㈰つ愸ち㌷慥㌸㡡〲攳㔳㙣㑡ㅣㄳ㑦挶愷昹㐴搴慡㑤晣㑣㥣攱㠳㈰㕥㔵昷〷攳敥挹ぢ㠹㙢㔵㘱户扤㤰昸㔷ㄵ慢改ㄷ㍥挵挱ㄴ戲㤰㘹搵㑡㐴㥡愲愱捦㈳㌳搴㌷捣戹㍤㠰㥦㜶㔹㔴捥㔷捦㥦晦攷㜰㝥晣挶晣㍢摦㍥昸搴㜳扦昸攳ㄳ扦㝥捦㤱扦晣敢改愷㝦晤愷㈷㥥晤搷㡦㔷㡥晣散㤹㘷㝥㝡摦㤷㥥晤攳㕥敢换摡㜷晦㌹晦攵㐷愶㉥㍥昲㤰㜵昶㡥攳㡦扣敢挱晢愷ㄶ慦㤹攸敢敢敦扦㝤昴攷㌷扣㙥攴捡㐳摦ㄷ㍦昹摤昵慥㔰换挵ぢ㕡愷挱㘵慢㘹㝣〱ㄹ㑣㠳㌳㝥㐹愷挱攵慡㡤㕡㠹㌷㙡〶〵㐵㌸㌷㌸〱㔵㘱戶㔶っ晣〷㤴昱戲㍡</t>
  </si>
  <si>
    <t>㜸〱敤㕣㕢㙣ㅣ㔷ㄹ摥㌳摥㔹敦慣敤搸㡤搳㑢㑡㘹㕤㑡㈹慤㠳ㅢ愷つ愵㐰〸扥㌴㤷攲挴㙥散愴㐵〵㙤挶扢㘷攲㘹㜶㘶摣㤹㔹㈷㉥㤵㕡㐱愱㈰㉥㤵戸㠹㐲戹愸㐲㐸〸㠹㥢〴戴搰ㄷ㈴㈴㄰㙡㈵ㅥ攰〱㠹㠷㠲㄰㍣㠰㔰㈴ㅥ攰〱〹扥敦捣捣敥散慥㜷散㙥㕢㜰㤱㑦扡扦捦㥣摢㥣㜳晥敢昹晦㌳捤㠹㕣㉥昷㙦㈴晥㘵捡㌳㜳捤攲㝡㄰㑡㘷㘲挶慢搵㘴㈵戴㍤㌷㤸㤸昲㝤㜳㝤捥づ挲㍥㌴㈸㤴㙤搴〷㝡㌹戰ㅦ㤲挵昲㥡昴〳㌴搲㜳戹㘲搱搰㔰捦㐱昸ㅢ㐹ㅥっ昶ㅡ捣〳㉣捤㑣捦㉦㍦㠰㔱ㄷ㐳捦㤷晢挶捥㐴㝤て㑤㑥㑥㑣㑥摣㜶攷晥户㑥散摦㌷㌶㔳慦㠵㜵㕦ㅥ㜲㘵㍤昴捤摡扥戱㠵晡㜲捤慥扣㐷慥㉦㜹攷愵㝢㐸㉥敦扦㙤搹扣晤㙤㤳户ㅦ㍣㘸摤㜹攷摢〶昱敡摣挹㤹改〵㕦㕡挱㉢㌴愶捥㈹摦㍥㉢㉢㌶搷㈶愵㙦扢攷㈶㘶愶昱㕦㙡晥㜸扡㘳㘲㜱㐵捡㤰慦㤶扥㜴㉢㌲㌰搰㜱挰㤹ち㠲扡戳捡捤㌳㥣㈳㔸㙡挵っ㐲摤㤹㤱戵㥡攱㈴愳ㄶ㥤㜹散㕤捤㕣ㅦ㜴ㄶ愵ㅢ搸愱扤㘶㠷敢〵㘷〹〳㔵㠷㥣搳㠱㍣㘵扡攷攴㐹搳㤱扡㜳戴㙥㔷昳㔱捡昵摤㤴っ㤱㥥㤸㕡晥挴㔴攰捣慣㤸扥㥡㔱挰㡤挹㘸㝢挴慦戴戶扤愱晢戸㥣扡㝡〳挷扣戱㝢㍢搴㥣㌱晤㐶换昱敥㉤攳挵户捥攰搶敥敤㔳㝢搴摡攷收敥㝤搴㔶戶戶ㄶ〳㌱㝤慢ㅤ挵㘲㡣〲㐱㍦㐱㤱㠰〸㌴㑡〴〳〴㠳〰㈲晦㜷㜰㐹扡㈳慢戴戲愹㤵㤷戵㜲㐵㉢㔷戵戲搴捡㤶㔶㍥愷㤵㔷戴戲慤㤵ㅦ搰捡攷搱㈶㐹挵晥㝥㉤㑥㑢挵敦㉦晣攰晥㙦捤晦攰ㅦ攳晦㌸㜱昶昱慦っ敥㐲愳㝢攲㐹捤晡收〵㤰㕡㤳㡡て㑣散攷扦捤戹〲㑣㘱ㅤ戴敥戰㈶㈷慢〷昷㥢户㤹㍡㤷㤵㠱晣ㄶ㐲ㄹ㐱摢㐱敢㕥摢慤㝡ㄷㄴ敥慥㤹㌶〳搹摣戸昱戸㙥摡慢扢搵攰㜵ㅢ㔷㉥㠶㘶㈸慦㙥慦㙢づ搲搱㙤ㄱ㙣㈵〳昵扥㙢摢扢㥤㌱㙢㜵㌹㜵搱㡥慡㕦摦㔶敤㉣昸摥㜲昷摡㈳扥㝣戰㔱摢㌱愳㈹〸戵㌵㌵㜶挷㉡愳慡㘸㕥㘳㌳㉢㕥㈰㕤㌵扤㜱㘷挱慥㥣㤷晥愲愴㐸㤴㔵戵搴换㔹ㄵ㜳晤昸扣㡢㠵㠲㕢慢㙦㐸㤷㕡㜷㕤っ挱捣戲㡡昹慥㑡㍦㕣㕦㌲㤷㙢昲㡡㤶㈶搱㍢㔱戱户愵昸㠸㔷愹〷㌳㥥ㅢ晡㕥慤戵㘶慡扡㘶㐲搲㔴㑦㜸㔵㤹捦攷㤴㔰㠰挰敤敢ㄳ㈲㜷㑢㜷㕥㔰㠸㐸愱㤸㡣㝣㔵㉢搹㑤㥣挲敡戰㡡㥡㈴㑤㙡㙦摣㘴㌰捥㔷挹㤸っづ㑣慤㠹晡㠳㉦㝤昳㈶挳㌶㌰昷敡㌶搶戴搱㜸昵㜷慤㐹㌷㍣㘶扡搵㥡昴㌳戵㥦攰㡣㡣㘱〰晤ㄲ〴㐲搷摤愳慡ㄳㄷ挵扡㝥挱慥㠶㉢㠵ㄵ㘹㥦㕢〹㔱〶つ㔹㉣㜲㙢㍢㤲㜱ㄹ㡡㡣摤〴愳〰愵㔲慥戰㠷㡤ち㈵愴㥣㑥改㤴挱换㉤㠲㥣晤㕡㜸㜹搰㍡㘲搷㐲ㄹ〹攵㘱ぢㄸ㠹戴㥡㐲摦㄰㐹搴㌷㉢㤱挲搸㘳捤㠰㑡㑤摢つ搷㥢㝣摢挱㈵ㄱㄱ敤挸㠲㙤㈷ぢ㈸ち㕡攵㐱〶慦㠱㘸摡愴㐱㜶攳ㄴㄱ㤱つ㌲㌴㍢㐶㙥㈵㌲戶捦㤰ㄱ㘸㥦㈶㐲戶摥摦㕤㐶㤰搸㍢㠹㤴㥤扡昲攳㡥㌴摢挸㤶㡦愴搹攵搸㌸攳ち㠲㉢〹慥㈲搸ぢ㈰晥〴〹㐷㈹㠷㝣㙢㌲㕥㠷㘷攳ㅡ㠲搷〳㐰㍥ㄹ㤴㌹戱愸愲つ戵ㄵ㍢㤲敤㠶㘰㈷㉢愳㌸ㄲ㐵戴㡣ㅢ㜶收㤰愳㄰ㅤ㕢㥤摢㐳搷收㤵㡥㝤㔳㜷摡㑣㉦㠷ㄴ㤹搱㌴扤搶㑤㥡愶㌷㠲㑤㝢搴㕢搷愱慢㌱㐶㜰㍤㐰挹㜸〳㈱㤴ぢつ摥慤㔹昴㌴㈹㕦ㄳ㘶㔱㘴っ昵愸攰㘳㐲收ㄱ㈰㐳挸㜵ㅣ㕦㜶㙣㘸㥡㠳攳搶㙢摥㠶摥搷㥤扦㘳愴户改捤ㅤ扤㐳㝦搱㑢戴愲㙦〰㝢㠹摦㜵搵㌱㌷愲摡㜸ㄳ挱㑤〰㙤㍡㠶愷敦㤷敡㈹㔰㘶戱㤳挲摣㙥㝡㕤㤴㤵扢戴扥㉡㤵〶ㅡ戴㤶㑣晦㥣っ攱挱㌸㍥ぢ㕢搸昳㝤㔹挳愱戶慡ち㜸㝥戹戲戵㌰㌸攲㝢づ换㜷㙣攴攰㌵愱ㄸ昲㜹慤㉦搷㘶㈳㘷搸㥡㈹㥦㔳㡡㜲愸㠳㙦敢㉥㈴㔲㥤㕡挹㡢晤戲捦㤷㍢㤲愴〷㐹㜲㌳戶搵戸〵〰㔲㐲晣愶慢㐴搹挷㘶㙦㔱捤㕡㉤㔶㝡昸㌲㑥㈷㙤㍥挴づ㌹㌲㄰㌹㙣愷攱㍦〸㠶㥣㐵摢㘹〸㡢〱㘷㐱晡ㄵ昸ㄶ散㥡㉣㐵㙥㔹㡡㥡ㅤ㔹昱ㅡ㤱ㄵ㝤㝤ㅤ攷改っ晦㥡愲㤳㌶㈹㤱挹敤㤹㤵ㄹ㘷昱㈶㔱搱つ㐹愱㤲攱ㅡ㙡㐸㈰㔲ㅥ摢敥㠸㤸ㅥ㐴捣慤搸㌸㘳㍦挱㈴挱〱〰晤〵㐸㥡慤㙥㍣挳㘱晤㙢㜴㘹㤷换戹㈲搱愰㕣㠴捦㜷ㄵ㔶〷昹㥡户ㄲ摣〱搰㘶晥搰〱㤹㐱㠸ち攵㈹㐲㔴㘱っ敢㡣㉤㉦㤰〶㜶㔹〸㉣捤搴㠳搰㜳ㄸ㔹ㅡ戲㘶扤㤳㕥㌸㙢〷慢㠸㐴㡤㕡㜱收摥ㄵ改㠲扡㝣搸㍥㙤㘵摥敡慡慣ㅡ搶愲㔷㠷㘸㍢㍥扢ㅤづ收搸づ搸㤲敡㙣慥〹愴摥捥挷ㄸ㐲㘰愷㤵扦㤵摥搸㉤㜹扦㜹攸ㅢ㙥敥攸㤲ㅤ搶攴㠰ㄵ㌱ㅤ昳㐵ぢ扢㠸挸㐱戵摦㕡㕡昱愵㥣ㅤ戲㡥晡㜶戵㘶扢㤲挸㠰㡤挹㘰摤㥣㍣㠷㈸挱㠲挷ㄸ愰攷づ㔹㑢扥改〶慢㈶〳㡡敢扢㕢㥥㔴㔸㐴户愶㙤㌷挰㙢ㄴㄶ㤹ㅦ戶ㄶ㔷扣ぢ㠸搸搶ㅤ昷愸戹ㅡ㙣ぢ慣㤰攸愳愴㔰㈳㌴愱㘹愲愸ㄵ㝢挵てて攴戹ㅣ㜹㉦㑦愰㜰㤵搳改㌳捦搰摥戴敢攳ㄸつ敤㜴捥㘹㄰搱愳㐶㘱㕦愶ㄴ㈶愷ㅡ㜷戲捦摢〱敥㍥㝡晡㜸㌳㌲昷戲㘲搶㍡扤晣ㄹ㌲㕥㤱㐵㈳㄰㐲ㅦ摤慥㠸㔴㔸㐶捡〱〷〲攳㝣㙡㈷扦㤲愵摡㤰晡㜶㌵戳㐷㄰㐹ㅡ戴收捣㘵㔹㐳㍣摡㌱挳㕤搱〳捤㔸挷慣〵㜱摤㡣攷㌸㈶㐹㡢㘴戹㔸㌱㐹挱㔳昵搰㍢㘱扢㠶〵愰攸㉦㉥㌲㉦愲挸扣愸㡡〶慤㔳っつ慡㍣挷昲捥㤹扥ㅤ慥㌸㜶愵挸〷㠶敦戶〵㑤㠲挹㈹㜹㤳㤴挸㡣戱㌶㙢晥㌴㑣戶㘰〲攸㥥㠰ㅣ攵搶ㄱ晤愰㕣㑤ㄴ昰㑦昴攸㔸㠲㠰㔱㥥㔲攳㥤ㄸ㑤㔷户㈳㈰㜲㔴扡㤴摣挱戸昴〸㑡㈲㈱㐴慣㘷㤰〸扣㠲㈹㈱㑦ㄷ㜷挱㍡敤摡㈱戰㐷㡣ㅤ戱挳搹〰㈸〷㐰㔶ㅤ㙦慦㔶㔸㑤㜵ㅡ㙦㘸㠵敢㍡慢㕡搴挴戵㥤昵㘹扤昱挶つ慡㈳㡤㤲㔲㈴㥢㌵㔲㥡㘵㠳㌹㙥㈷㔵㈳㤴攲㑥戴㡤挸㜲㥢㌶昷㥤㔲攴㘵㈸㈶㐵㌳㌹攳㕤㡡㔰㄰攸㡤㜵ㄴ㝤昶搹攴㤱㡡搸搰〶㈸㔱㑦㐵㘵㐳㜱㐸昰㌸慥㥤㔴㘵㈹㝥〲㝦敦㡡戳昳昵戰愵挶扣㌸ㅡ搷㑣搵㙡昳㉥慣㠴㡡改㔷户〹㑢㘳㙤㤱㠶㔱摣搹慢昶㡦戶㌷挵㠸㌱ㅢ㌲㉣㤲攱〷〶ㅢ㠲戹㔲ㄱ㔵㕡㘷㐳摣敡㐶㜱㤱㑦㈷愴改㉡っ㉣㠶搵㔹戹愶捣戰愶㈵㍦慡㍡㌴㑥㡢㑡㡥ㅡ搶搴㜲〰㤵ㅥ㔲㡥挷㌹挵攰㠶㜵㡡㙥㈹㕣㘲㠰搸㡤㜳ぢ㤵㄰愱摤挶〰㍣ㄹ㙣ㅦ散㘰㐷愲搰〹慤㌳㑡搰㐲〶攱戶㉥㠲扣搳㈳㐶㈱㐸㉤㤵晥㜶㔸㝣昱㐹愶㙦ㅥ捥㈵㤹㤸㠹ㄸ敥捡戰ㅥ㠰摣㜴㘴㤲㕣㌴㥡〴捣㈳挹愶㠴搶㘰㔲㐶ㄳ㘳㠸㈶㥦ㅦ攲ㄶて㘳㔹挳㘴㥢ㅡ敥戹㠵㌶戴㘹㙤㝤㤷㜵摣慤搴敡㔵愹㔴㜱㈲慢㤵㐶摥ㄶ昸㔲㔷〰㈳㙥捡搸㤷㜸㔳㡥攳㈸挵㈵ㄳ㐹扤摢摤挶㘱㜴㔷㐲づ㘳㐴慡㡦〱挸っ户㥣ち㠸㜵摣㔳愰㝤戸扢㜹㠱㐱㕤㥥㠳㐸敢㈸愲㉣㥢挳㝤扣㐶ㄴ㔹㜱㕢慡搹㥣㌷攷搱㘶㑦ㄵㅤ戳愳愲㙤㠱㈳慣㌳ㄲ㜸㠵〲㡣㤱ㅥ戹㠳㠳攴㉥挵搱摤㑢㡦愸挷摣㈵愰㐲㘱㐰㌰挶换㔳㔰づ扢ち㐶愲挱慤㌵慤㙥挱攸㉦㉤㙦㘳ち㐰㌰っ㑣㠳ㄶ㉤㈳〳㘷〶昹捤つ㥣敢搰㉡㈳㐲㥡づ愶㌲㐶㌹ち㠷㍤㤰〶㙥攲㐱㝡挹㠳ㄲち昷愸㡢㘱挹摤挴㜱〷㐷㈰捦扦愲慤㜰挱っ㜱晤挵摤摢㔶㍣㔵慤搲摣㠵㝦㙥㕢㘰ㄵ㔷㌷㈲㜳㜴㑦摢愵㉣戵㈶摡㜷㌷戴㔵挴㤷〵て捣㑥ㅣ㌳挳捡捡㘲戸ㅥ㕤摣敡㤵㈴昴攷攰㡦搸昰敤戴㤹昳㉥㉦愲慥㜱敦㑢攷㕤敦㠲慢收愵〷扣昵〷ち挱ㄵ捡㝥㑥戲㤴晢㌷晥愹愴攵昴㥦㘰挴慤㑣㥢〳㌴ㅤ㈴ㅣ㐷愵㐸ㅡ㡣㈱㥦㐱㈷戰摤ㅢ户〶㐸㈷㝢摡攸㐴〹㠲ㅤ㐲㜱捦扤㘲㠴㈲㝥っ戴㤲㔸愲㈳㌹昶晣ㅢ㘰㝤昱㉣㑡㠸㜰㍣挷㘲㐴扦ㅥ戹っ搴㈹㐱ㅥ㕦昱攰㠵㤰晦ㅦ㉣㈵摣扣㈱㍢晤ㄷ㤸㔹㍣搳㡥愲㙢㠹愲ㅦ㜵愰㐸昰ㅡ㠸攲摦扢㤱㐹㤲捥昰散㑢ち㠴㜳㑤㍢〷搰㔷晤挲敦晦昰〰㍡ㄷㄳ㠷戲搱㄰㙡扢ㄱ捦つㄳ愱慦挳㐴㘰昰㕥㤹〸㈷㤰ㄱ㡣攲㐷㈶㐲散〳㤹㐷挱收㈶〲㘳㝢ㄹ㠶㘰㉡搴㥡㜲㙢昰〴㜶㠵㐳晦搸㌱㕣扣㤵〱攲昹㔰㕡挱っ㍣㔲㔷㜶ㄶ㉦㤸扥改散㔵攵㐷㝤〹㘵收㉦攱㈶户敡挲ㅥ㔷㙦㔸愳㍡㙤攰慢㐸扣散㍢晥㤴慤摤㕦〷愶愲ㄴ戹敦㐵㔱ㄴ㕥㠶愷㐴昰摣㤰晢挰㥥㙦ㅦ晤晤㐳㡦ㅤ收㙤戵㤸㔶昵㕢㤰敦㈵㘴㑦㝢〲㐱摤搴㐵㤱换昹㘱捥〹㝣愲㘴慦搶攴戴改㉢㉢㈸㌰㥣㈴ㅢㄱ㕥㡡㌰㈳攲摢づ㈶㈶敥㍤㐴㈶收㐴㥢扢㔳㝤搸愴㕣㠴ㄳ愹㠹㉢㥦㕥ㄲ㌶ㄴ㕤ㄵ㔹㡦搶愶晥㕤愸愲㤷㌸㤱㔶㉢㤱愷㑥㈶㈱扥搳慥敢づ㔲搷㐵〷ㄹ㠶晤ㄳ㈹㠵昸〳㈹㈴㝤㤰攱㠵〰㈵愵㑥㈱愳摦ち㤰ㄱ㔹㙢て昱搲ㅦ戰㈳〴㘴攳搲㕦㡦ㅦ戱㘰ㄷ㠱挵挴ㄷ摦敢㠹㤶戶㘸愲㥡ㄸ慡㔵㌶捤㈲㌲敡昰挲㠲挹愴㜴〹㤹㈴改〷㤰摢戲㍢㡡㉦ㄹ㜲愲挰㕢挴搸扡㐳㕦㕢挹戹换慤攳收〷昴㑣㐱㈹っ㜷㌷㡢㜱㈰㔵㌱扡愸㘹㈹㉡㈲ㅣ㡥戲㡤㑥〳㜱ㄵ㜴㤶扢ㄷ愷㔲〴晦昸愵㄰敢挷㥢㐳㕦摥㕥㐳ㅤ攷昶㘳㠱晣挱晥扡㌶㠳戱昱㔶㜲っ㈴散㤶㕡ㄵ愳敢攱愷搱㠵㡢捥〹愳㤹㔵捦攲㈰晥㈴㥣搵愷㜵攸㝦㐶慦ㄵ㘷㥤㘱㙦㠶戱㕢昴晦㝤㈸搸㔴晦ぢ挶摥ㄴ㈲摦ㅢ㘷昸愰㌳㝥戲㘹挸㠶㍢〲捦㌶㠲㌷敡㘰㙣愸㉣㐳摥㔱㙥ㄱㅦ慦㐶搵㑡㠲挳敦㤵㙦扦ㅡ搱攸㑢摢㜶愰慢〰㘴㙣㐸晦〶㐴㔰搷晥慤㜲㉢㌹摤ㄶ敥㐷挷㍤㈷散㡡敦〵㥥ㄵ㡥㉤㈲攸㍢挶㙦捦㉣搸㍣㔳攲敢敤㐲敤〶散挴攰晢搱攷攴㍣〴昶㐹ㄹ扥㔲戱㐸㐶ㄶ戶ㄶ挹攰㜷㐸㈳愹昰ㄲ戵㐳㜰㤹㜵㑦摤慣攱搳搵㜹昸㍡㐳ㄶ㙤ぢ㘵ㄷ㜹㥣摢㙦㘸㜰敢㜰㐷敢㍤昰〷挹摡〴㠲㘳㙡〹昷扦㥦晢摡扥〷慤㙤攳戵〵㙣搹㥢捦慤愴㍦つ㥣㙥敤㉤慤㈴挳㜷昲㡢攴㤲㔱㈶挴愵晤挳昸扢㜵〷㉤㐷ㅢ〵㥤挷ㅦ㜴搳ㄱ㌶㕥㠳晢㙣ぢ搱敦戳攸㉡愶〸昰㌳捣㌸挳〷㐱㉦ㅦ㔹㔱㝣〵换㈲〳㈰㥦㉢㔴〰扡㔳昵㔳ㅢ㔱昵挸摤散㠹㈴㜸挶㈰㌹㤶挴㤷搰㤰摢ㄵ㉤ㅢ㉣挱㘵ぢ㜵㤶㐰摥㐸㝡㈰㥦ㄳ㍣㑢愸㠹㝣〱ㅤㅡㄳ戱㔱摡㝤㈲㥦摦㘸㈲㠲㔶㠰㕡㘸㝡晣㤱㐴㡢ㄸ㌵㔴ㅢづ㠱㑢攰〱㡣㈴捡㘴㤸昲㤱㐲愷㄰挵ㄸ㥥㈵㡡㤰㝥ㄵ晦㝤昱昰ぢ捦㌳晤昵戰㔰ㄲㄱ㔵慤慢愰㐴㔴慢㜸㈲扤ちㅦ愵摤㔷昱挹㡤㔶㌱㐲㘱挹㤹ㄸ㈱挰㔰㥦㈸攳㡦㕡㔵ㅤㄹ㙥㈸㝦攲㉣〱㝥㉤戳ㄸ㌱㔱愲晡㕥㐰〶㝤戹昳慡搵㐵㘴㤲扥㍡㌷㈲攳㉢ㅦ㘵㈸昱㐶㈴㥤㍡㠵挸㉢㕢㠸搴㘳搱㠹摤戱摢㐲㐸㘰㐹晣㙣戶慢㙣㉦昴ㄸ敡ㄷ㡦㈷㠸㌹㜶㉣昹㠴㑡㡢㠳㑦㈰㡣挸㌴㈵㈱㜱㈳挵㐷㤲挶摦晢㘱搳㜷㡡ち㈴㔰㑦搴㤸〴愷ㅡ㝦㌸㘹㝣〰㥦㘷愹㌶㌹㕥㈵㘰㝡㌱㘹㑣挲㔴㡤ㅦ㑢ㅡ晦攵挰摥㐶攳㠴づ愳㤱㜵ㄲ㐹㠶搱慢㡥〱愹㑦戵㠷搱㕣户愸㐸〷慣愸㤸㈲㔴挵㤰㙢㑡㤵づ攲㔶㠸㡦㡦愵攷㜰挹〹㜷㐱㈰㙤愳晦㘷挲㜱㕣㝥㥡㌵㐳ㄳ摦㐲慦㈱敡散ㅢ敡㠹㥤ぢ搶扣㡦㠲㝥敢㜸㠰挳㔵㜵㕢㤱〸散㠲㝣戴扦㥢㜸攷㌳㙣挸收㝥㈴搱㌲㡤㤷㐹㝡搳㈲㉡挲㤲ㄷㅦ㑣㌰㥢㝢戴㐹㌳挶㈳㐰づ挴㈴㈰㌳挶愳㠰㔱㐴㘶てぢ㐶挸晦㡡戹㍦挸㡡てㄱ㍣〶㔰ㄲ㘴㜶搲㐱攱挳〰挳挹晦戱㘲㙣㑤㌹㑥㌴昱㔰昲戲㌴ㄹㄹ㡦戳挳㐷〱晡攰挷ㄵ㌱ㄱ㤶㡣㡦愱㈴晤㔲ちづ昵搲㡦戳攲ㄳ〴㥦〴㈸改㥣散㤶㜷㡤㙢敡㔱㠵㝤ち㕤挵愳〴昸ㄹ㑦挴ㄹ㍥攸摣㠷㜷㜴㌷㥡㜹㈶㑥扥昰㐷捣戳攵㔳晥扢昰㘹晥㍡ㄷ摤㠷晦㌳㠹慥㉣晣扣昶昶摥挶㈲ㄳ搰㌸㔷扦㔵㙣昶换ㄸ㠷敢㙡㠶㔲㌸㈲㤵㑡㔱㉢〸攲㥢ぢㄶㅥ摥挰户ㅣ㔲ㄵ㐲㤰〶㔴㠵ㅢ㔷ㅣ㐶㠱昱ㄹ㌶㈵㡥㠹㈷攳戳㝣㈲㙡搵㈶㝥㉥捥昰㐱㄰慦慡晢〳㜱昷攴㠵挴戵慡戰摢㕥㐸晣慢㡡㤵昴ぢ㥦攴㘰ち㔹挸戴㙡㈵㈲㑤搱搰㤷㤰ㄹ敡ㅢ收摣敥挵㑦扢㈸㉡㘷慢㘷捦晥㜳㌸㍦㜶㜵晥扥㜷て㍥昹攲㉦晦昰改㕦扦敦搰㥦晦昵搴㔳扦晥攳愷㥦晦搷㜳换㠷㝥晥昴搳㍦扢晢慢捦晦㘱户昵㌵敤㠷晦㥣晢摡挳㤳攷ㅦ㝥搰㍡㝤换搱㠷摦晢挰㍤㤳ぢ㤷㡤昷昵昵昷摦㌴晡㡢慢摥㍣昲攸㠳捦㠸㥦晥昶㑡㔷愸攵攲〵慤搳攰戲搵㌴扥㡣っ愶挱ㄹ扦慡搳攰㜲搵㐶㉤挷ㅢ㌵㡤㠲㈲㥣ㅢ㥣㠰慡㌰㕢㉢〶晥〳昰昸戳挱</t>
  </si>
  <si>
    <t>㜸〱戵㔸㕤㡣ㅢ㔷ㄵ㥥昱摦㡥㜷㥤慣㤳㑤搲愴㐹㠹㕢㙤搲㙣㝥㡣扤ㅥ㝢挷㠹搲挴㍦晢攳㈴摥㍦㙦㥡㈷㍡戹㥥戹戳昶㘶㍣戳㥤ㄹ㉦扢戴ㄲ〹㑦㐸〸㠴㠰〷愰㤰㔶㍣㈰㕥㜸㐸ㄳ㔰换〳㝤愰㐴愴㙣㐸慢〶〹㉡㈱㈱㠴〴愸㐸㔴㉡慡㐰㝤〸攷㡣㍤戶㘷搷㜱㔸㕡敥慥捦摣㝢敥戹攷㝣昷摣㝢捦㍤㌳っ换㌰捣〳㈸昸挴攲挳捡㠱搲㥡㘹搱㕡㌴愷慢㉡㤵慣慡慥㤹搱㡣㘱㤰戵ぢ㔵搳昲㠲㐰㐰慣㐲扦改ㄷ捤敡ㄷ㈸㈷慥㔰挳〴㈱㍦挳㜰㕣搰〳晤愸〴㝦㘱愷ㄱ挴㔱㈱ㅦ㤰㠵㕣㜶愶扣〴㕡㑢㤶㙥搰攳㤱㘷ㅢ㘳㑦挷攳搱㜸㌴㤱㡥愵愲戱攳㤱㕣㕤戵敡〶㍤慤搱扡㘵㄰昵㜸㘴戶㕥㔶慢搲㜹扡戶愰㕦愱摡㘹㕡㡥㈵捡㠴ㄷ攲㝣㌲愹愴搳㐲〸㑣㌳搳戹散慣㐱ㄵ昳㔳搲改㐷挸挹㍣㤵慡㌸㌷㑡㡤慡戶ㄸ捤㘵攱扦〳㝦ㄴ㉣捡㔵〹愶ㄲ㥤㈹㘱扤㔴愱搴ㅡ㠰㤱〳愲㕤戵ㄱ㙤ㄷ挷㔷㈵慡收愸慡捥〳挰㥤㈲㌸戶㕥搳㘶㡣㉡搵㉣㠲晥つ㡡ㄵ㘲收㠹㐵捤〱慣㑤㔱㈲㠳㕦㠶㐴摢㐹㜲㐳扣〴㄰愸ㄹ㙥昲收昵捦㌷ㄸ㙥愱昱ㄵ㔰搹㈹搴㘰㙣慢㕤㌴改㍣搱ㄶ改㌴愹㔱㝦㙤戲㕥㤵㝤戸ㅣ㕥㡦搷挳㜸㑦㜴㥢愶つ扤㍤挱昶㜴搰搹昱㙥㈳㍡ㅤ㤳换㡥㐵㕤戳㐶㙢㉣换㜶摢㕢㔳挴慣㔸愴慣搲㥥㥤散㐰㜳㕢摡攰㐱㕢㌰㠰愴慦愱㌷挸挱戳㍦ㄸ㐴捡昸㍥㠲㉤摤㈹㡥㉢攲ㄱ㠹㐷㉣㝢㐴挹㈳捡ㅥ㤱㝡㐴挵㈳㉥㝡挴㡡㐷慣㝡挴㈵㡦㜸〵㘴㥣挲昵昵㜹㥡㘵攴挱愹搰散挷愱戳㕦晤搶㤵㔷㠶愳晦捥㠷㔰搷㙣㉥㍢㐵搵㘵㔸愳㑦㙢户攱㕣戶戶っ㔱ㄸ戱㔳㥣愷㡢〶㌵㜱㡢ㄶ愹㔵搱㘵搸㐰戳戰㔱㜴㜹㘱㙤㤹㠶挴ㄲ㈵愶慥ㄱ戵㙡慤㙤ㄷㅢㄲ愵㘲㈶㔳户昴ㅤ敤㘶㘳㠰改〸攴摤〲搰摣㈰㔰ㅡ㉦愱㠶㐱㐷〳㌴搵攵ち㘹㡤㜷㜷攷㌷㜷㘷愹㐵挲捤搱昹㠵改㤲搸〹愸挱㐰㠵㉥ㄱㅣ攳㔸戴㐵㘶㉢搵㙤づ〲㝢㐶㡥晤㔲挶〵愷㤴㤹㈴戵㕡ぢ摤搴㈵㕢搸㔱㠵捤㑥昰搰敥戴〴㑤㝢㜴换㔲ㄱ愱戶㉣ㄵ㕤㘳㑢挵つ㤶㙣攱戶㈵户昴搴愵愲摢㔲㘳戴㈳㥥㕦挸搸㙥㘹㍢〱摡㠸戴㔳挰敤挸㡣攸戲㡦ㅡ挰㐹㙤昹攲〶㠵搰㜶㉢㉣㡡㙥㠵挵㡤ち㡢つ㠵攸㠳ㅡ〴㉥㈹㌳㕦㈸㘶㜶㘳愴愰〶搵㈴㙡ㅥ㥢搱㜲ㄵ㡣㌳昲㔳㥤㕣㘵㝣搵愲㥡㑣攵㔹㐳㠷㔳㘳慤㉤攰㜱摦攳ㄲ挹挰㑤戳㐲愱㘳㥦㡢㍤愱㑢㜵㌳愷㙢㤶愱慢敥㥥㡣扣㐲挰愶㕣搴㘵捡搸搱捣㌹扥㍤㥥㕥㉦换㌲散搱㙥攱慢㜹愲愳敤昳㌳慥搵㙢㜸摣㡦昵ㄲ敦㌸㘲㜸收㔰㥥攵攰㉦挰〶昰㝦昳愳挱づ戰㐳捤㜸㘶㠷攸㈹愲挹㉡㌵扡㐵挰搶搵换㘲攴㘵晤晦㠴攰戶㠵〹攰㐵摣户㐲搴㍡ㄵ㐵㠶㐳㜸ㄸ㌲晤ㅦ㠲㤶慤捣㙢戳ㅡ搰〲ㄱㅤ㠹㝤捤㝦昷㍢㔸㕥㍦挳㍡ㄵ攷戹㠹昱搰㡥晦㠷愴㘳捣㜹㍥搴㐶㑢愰㍦戸ㅤ㈶搵摦捦昸搱㔱㕢扦改搰ㅢ㐱晢㡡㠵㠴挵昴搷㈶㜴挳昴㝡扢慤散㝦㜷昱攱捤ㄹㅣ㐴ㄲ〶攲挳㡢慥愷㌲㐴摤㝦㐱㈷昲〴挱捣愴慦㤹㘲㜱㌹扤戶㑣っ㙡㠴搱㙣づづつㅣ挶㤵㉡㈴ㅡㅣ㌲㑡㤰捡昹㄰㜰攰㔹摣㉢㈶攴〶㕥挶敦ㅦ攰扡搹㉡㌸扡㠶扢愴㡡㠵㑤晡晦㍥㈷㥣挱扤摢摦㡦搸㠲㍢㤰散〴挲攲㜵㡤昳㐱〱㜸㠰〰敥捦攰㄰㤲㕤㐰㔸㕣〹摣㘲挱摤捤㡡扤摦搰ㄹ捥㌰㘴㌴㠷敤㐱挱挷㔰㄰ㅤ搵㐵㘰㉦ち散〳ㄲ㐶〸㠸㠸攳搰扢ㅣ㠷挹ㅥ挷攱捡㜱ㅣ㙡攴㜰㌴ㄳ㐶㤰㈸ㄶ㝣ㅣ挹㝥㈴〷㤰㍣㠱攴㌳㐰挲〸ㄵ㑢ㄸ攱㘲〹㈳㔲㝢挹づ㐲㘵㥢㌷㡣愸㔰㘵㈰〲攴㔰㉥㥢㥢ㄷ㘵ㄲ㑢㈸㝣㤹愷挹㔴㤲ㄷ搲㜲㤹㈴㤴㌸㤱搲㡡㄰㡦挷愸㌲ㄶ戶㈷〱攲挱㈷㠱㠴ㄱ㌶㙡〸㍥㠵㉤挴㙦户戰捦㡦挰づ昷づ㑦㤸㌶ㄶ㈰㕦㐷㘰㠳攲攴挵㐲ㅥ戲〶㐹㠷慣㥤捡㝥扢つ昹㍣〴攷㔵扦愸㐱㜶搸㈷㙡㍡愴愲㈴㘴㌳㤷㌱㙣㙢ㄶ㈷搲㔵㐹慤换搴㈷慡㘴㜱扢㈸敢搳扡〵ㅢ㥢㑡挴戴㕣㘹挶㠰㔸㌰㥤㤰㌸搸捡㍦ㅡ㌱㜵扢㜸〱挴㘷㈹戹㔲㐰㝢㡦戵扡㡢㐴慢ㄳ㜵〶㈰ㄹ戰㈱㜷㠸ㄹ㜹愹㡥㠲㠶〴戶慢㉡ㅤ㜲㜳散ㅤ扡慢挹㜳㔰搸捣㔰㤳㌹慦搷㌵搹搱㘳㌷散敥㥤㑥㌷㌵㉤〳昲昶㘲㔵摢挴㈲慢攰㕥㜴㜰㘳ㄹ㜱㉤㜱㌹㈱愲戳昰摢㑡挸㙣㕣〵ㅣㅢ敢戵㍥ㅢ愷敡摣㈱㠱㐰㑦㔳㡤㘱昶捣㥣ㄱ㕣㈰㠰ㄶ㤹挰㌰㤰㐸㥣㤷㘱㝢昱㐹㐹㐸㈴昹㌸慦㄰㐵㈸昳㐲㜲㉣挹挷捡愳㘵ㄲ戳㈵て㈱戵㘳㌸㍥摦㠳㉢〱慦〵㘴戶㡢晦昷挰摡昲ㄴ搰㠱敥㕢愷慤昱㡦昶㔹挷戶晦㜷㡦扡㠵㌶捣戳㤷㕡㔴昸㐱ㄳ晣〷㕦㘴昱戴攲改㘰〲㈳㐰㈲愹㌴㤱攵搴攸㈸㔵〴㥥㑦㤲㜲㔹ㄸ㈳㐲戲㉣㤰㤸㤰ㅥ㤳搲㈹搴ㅣ㌸ち㘴攰愲㐹ㄶ㘹攴㠸㘲㈵㜰愰㕤搸摦㜶戸㠶つ〱捦昶ㅦ㝢ㅦ搸攸㥥愶ㄸ㍣摡㜳㘳摦㠵づ㥣㕦扢ㄳ㙢ㅤ〸㌱㤴㌴㄰㘲㉥ㅦ㤱㘰戹〸㠹挷挶〴㔸愴戲㤲㑡挷㐷㔳㑡㍡㤵㐸㐸挹㜴㍡㈶㈹ㄸ㥤〲㥦〵戲㘳㐶㤲敡换㤰晢慣㐵攰㠸搴慡㤶搹摣慦っ晢㌶搸㜳㉤㈱戴ㅦ㌰散㍤愰て挵昹ㅢ攸散㠹ㄳ愳㕤〳㘷〲㜱愶愸㈰搰㈴㤱㘳㜲㤲昲㘵㠱愶㈹㉦㈷㈸㑦㈴挲㉢愳㔲㔹戱扦㄰昰㈰㜹㌰〳〷ㅡ㝤戹㐰㙢换㔰挳㜷晡挸㤱㍣扥戱㔰㌳㌲㌱搲㐲晤㙢㐰攰愰戶扤㍢〶愳ㄹ昶慤㕥愸敦㍣ち㌵㠶攷〶㙡〱㙡㤱ㄸ㐰㤵〹て㉦搶㌴挱愷㠴㠴〰㉢㑦㤲㐲愲㕣㑥㐲㤵昰㜸挶〳㘹㈰㠷㜲扡㘹㐵㜴㈵㌲㡤㠰㠹ㅡ㤹㈴㘶〴攰㐷㈴㐹〱昴昰㑤㠴ㄸ㘶ㅢ晢敤㡤搸攳愰㠳㘱㝦搹ぢ晢㥢㡦挰敥㍦〸㉡㑥㜵㡢ㅡ㤸ㅡ㥢昸㔲摥㑡戸㌷㘶搶攳㤰㈹慦攱㔶昱挲㘵敥户愳㥥捦㜳昲㝦搳㠵㤱〵慦㍦晢昷ぢ〰晤〹昴戸㑦㉥㙡㉣挰㉦昸っ慡㝦ㄲ㐸搷〸搳敢㡢〲扥㌱敦慥ㄵ捣㜹昴㠵戹愰㘷㕡摦㌷㜶搸戳〶晥㌱㈷ぢ㍢搴收㘴捡㈶㝣㝤戱愸㌳㙣挶㘸㡤摢搶㤶㠲㑢㘵㜷扢㠵慦ㅦ㜴搵挲㕢㜱㝦㥢㕢搰㑣㜸㤵愱戲愳ㄱ㑥㈱敢昳㜸搹㘷扡㌹扢㜳㈶戰㝣㥢㍦ㅡㅤ㜳㍥て攱㐶摣摦㈵慤捡㔶㉤晢㑤挰扥㡣㠲ㄱ㤰ち㥣〵㌲㜰㝡㌸㍢捣㥦ㅣ㥥ㄸ㑥昱晥㌷㘰㡤㍥愱㜹昷㍡愱㌱㉣晤挱㉣㔰ㄶㄳ㄰戴㠱慣㐱㕣扡昷攱攷㔹㘵愵换昲攵换晦ㅡ昴㐵ㅥ昷慤㝥晢㙡晥敡捤㙦㑥㉥㑤㘷㤶收㙥㝣㉤扢昷敢敢敢昷㙥㈶昹晢㠹晢㠹㥦昲戱㜷ㄳ㙦捦㉤㐷敦㡥㡣㥣㌸昷㤳扢攷㑦㥣ㄸ㌹户晥捥ㅣ㜷愴昸搶㥤ぢㅦ㑤晦㌸㜴攷摥昴摤㥢挵攲㘸㙣晡ㅣ㝦㈳挶挷㤳挵㥢户㙥㕤㘶昷扤㜱㌵晥摡慢慦つ㈷㉦摤㑢㥦㜹晡改攴敢扥捡搲㡤敢㉦㉣㍤户㌴愷扣㝡㝤㐶㜹扥昰㈵㘲摤㍡扦㘴ㅣ晥搵捦ㄷ㕥愹㍣昷戳敢㌷㠷挲㤹㍦晣攰㉦〷て晣㘳敦㥦晦昶晥㕦㕦㝡昹ㅢ晤户㠶愲㤹㐳㤳户㙦㡦㝡㍦㜷㘷捦换㐱㑢㡡㕦㜹昱㜹攵攲搱挹ㄷ昷扤昹昱昱㔰攸扤晣愹ㄳ㈷昷散晡昲㠱〳摦㡢㝣㜸㤶昹搱㑢搷㥥㔸扦收㑦㝣攵昰㍢㍦扣戶晥愷〰昳㝤攳㠵㤰て摤搰㙢㜵㌰昸昵搵㐴㠲㥦㑢戹㥡愸㔲㙤搱慡戴㍥㤱㐲晡换挱㌷搲ㅣ〸㌹㥥ㅤ挴〶㍡摤捥㌸〷晥〳〵㌴㠷㐷</t>
  </si>
  <si>
    <t>Crystal Ball Team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</si>
</sst>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13" x14ac:knownFonts="1">
    <font>
      <sz val="10"/>
      <name val="Helv"/>
    </font>
    <font>
      <b/>
      <sz val="10"/>
      <name val="Helv"/>
    </font>
    <font>
      <sz val="10"/>
      <name val="MS Sans Serif"/>
      <family val="2"/>
    </font>
    <font>
      <sz val="11"/>
      <color theme="1"/>
      <name val="Calibri"/>
      <family val="2"/>
      <scheme val="minor"/>
    </font>
    <font>
      <sz val="11"/>
      <color theme="0"/>
      <name val="Calibri"/>
      <family val="2"/>
      <scheme val="minor"/>
    </font>
    <font>
      <b/>
      <sz val="11"/>
      <name val="Calibri"/>
      <family val="2"/>
      <scheme val="minor"/>
    </font>
    <font>
      <sz val="11"/>
      <name val="Calibri"/>
      <family val="2"/>
      <scheme val="minor"/>
    </font>
    <font>
      <b/>
      <sz val="18"/>
      <color rgb="FF1F497D"/>
      <name val="Cambria"/>
      <family val="1"/>
      <scheme val="major"/>
    </font>
    <font>
      <sz val="18"/>
      <color rgb="FF1F497D"/>
      <name val="Cambria"/>
      <family val="1"/>
      <scheme val="major"/>
    </font>
    <font>
      <u/>
      <sz val="10"/>
      <color theme="10"/>
      <name val="MS Sans Serif"/>
      <family val="2"/>
    </font>
    <font>
      <u/>
      <sz val="10"/>
      <color rgb="FFFF0000"/>
      <name val="Calibri"/>
      <family val="2"/>
      <scheme val="minor"/>
    </font>
    <font>
      <sz val="11"/>
      <color theme="1" tint="0.249977111117893"/>
      <name val="Calibri"/>
      <family val="2"/>
      <scheme val="minor"/>
    </font>
    <font>
      <b/>
      <sz val="12"/>
      <color theme="0"/>
      <name val="Calibri"/>
      <family val="2"/>
      <scheme val="minor"/>
    </font>
  </fonts>
  <fills count="5">
    <fill>
      <patternFill patternType="none"/>
    </fill>
    <fill>
      <patternFill patternType="gray125"/>
    </fill>
    <fill>
      <patternFill patternType="solid">
        <fgColor theme="8" tint="0.79998168889431442"/>
        <bgColor indexed="65"/>
      </patternFill>
    </fill>
    <fill>
      <patternFill patternType="solid">
        <fgColor theme="8"/>
      </patternFill>
    </fill>
    <fill>
      <patternFill patternType="solid">
        <fgColor rgb="FFE5F4F7"/>
        <bgColor indexed="64"/>
      </patternFill>
    </fill>
  </fills>
  <borders count="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s>
  <cellStyleXfs count="5">
    <xf numFmtId="0" fontId="0" fillId="0" borderId="0"/>
    <xf numFmtId="0" fontId="3" fillId="2" borderId="0" applyNumberFormat="0" applyBorder="0" applyAlignment="0" applyProtection="0"/>
    <xf numFmtId="0" fontId="4" fillId="3" borderId="0" applyNumberFormat="0" applyBorder="0" applyAlignment="0" applyProtection="0"/>
    <xf numFmtId="0" fontId="2" fillId="0" borderId="0"/>
    <xf numFmtId="0" fontId="9" fillId="0" borderId="0" applyNumberFormat="0" applyFill="0" applyBorder="0" applyAlignment="0" applyProtection="0"/>
  </cellStyleXfs>
  <cellXfs count="39">
    <xf numFmtId="0" fontId="0" fillId="0" borderId="0" xfId="0"/>
    <xf numFmtId="0" fontId="5" fillId="0" borderId="0" xfId="0" applyFont="1"/>
    <xf numFmtId="0" fontId="6" fillId="0" borderId="0" xfId="0" applyFont="1"/>
    <xf numFmtId="2" fontId="6" fillId="0" borderId="0" xfId="0" applyNumberFormat="1" applyFont="1"/>
    <xf numFmtId="3" fontId="6" fillId="0" borderId="0" xfId="0" applyNumberFormat="1" applyFont="1"/>
    <xf numFmtId="0" fontId="6" fillId="0" borderId="0" xfId="0" applyFont="1" applyAlignment="1">
      <alignment wrapText="1"/>
    </xf>
    <xf numFmtId="11" fontId="6" fillId="0" borderId="0" xfId="0" applyNumberFormat="1" applyFont="1"/>
    <xf numFmtId="2" fontId="5" fillId="0" borderId="0" xfId="0" applyNumberFormat="1" applyFont="1"/>
    <xf numFmtId="3" fontId="5" fillId="0" borderId="0" xfId="0" applyNumberFormat="1" applyFont="1"/>
    <xf numFmtId="39" fontId="5" fillId="0" borderId="0" xfId="0" applyNumberFormat="1" applyFont="1"/>
    <xf numFmtId="0" fontId="8" fillId="0" borderId="0" xfId="0" applyFont="1"/>
    <xf numFmtId="0" fontId="6" fillId="0" borderId="0" xfId="0" applyFont="1" applyAlignment="1">
      <alignment horizontal="center"/>
    </xf>
    <xf numFmtId="1" fontId="5" fillId="0" borderId="0" xfId="0" applyNumberFormat="1" applyFont="1" applyFill="1" applyAlignment="1">
      <alignment horizontal="center"/>
    </xf>
    <xf numFmtId="17" fontId="6" fillId="0" borderId="0" xfId="0" applyNumberFormat="1" applyFont="1" applyAlignment="1">
      <alignment horizontal="center"/>
    </xf>
    <xf numFmtId="0" fontId="7" fillId="0" borderId="0" xfId="0" applyFont="1" applyAlignment="1">
      <alignment horizontal="left"/>
    </xf>
    <xf numFmtId="0" fontId="1" fillId="0" borderId="0" xfId="0" applyFont="1"/>
    <xf numFmtId="0" fontId="0" fillId="0" borderId="0" xfId="0" quotePrefix="1"/>
    <xf numFmtId="17" fontId="3" fillId="4" borderId="2" xfId="1" applyNumberFormat="1" applyFill="1" applyBorder="1" applyAlignment="1">
      <alignment horizontal="center"/>
    </xf>
    <xf numFmtId="17" fontId="3" fillId="4" borderId="3" xfId="1" applyNumberFormat="1" applyFill="1" applyBorder="1" applyAlignment="1">
      <alignment horizontal="center"/>
    </xf>
    <xf numFmtId="17" fontId="3" fillId="4" borderId="4" xfId="1" applyNumberFormat="1" applyFill="1" applyBorder="1" applyAlignment="1">
      <alignment horizontal="center"/>
    </xf>
    <xf numFmtId="0" fontId="10" fillId="0" borderId="0" xfId="4" applyFont="1" applyAlignment="1">
      <alignment horizontal="center" vertical="center"/>
    </xf>
    <xf numFmtId="0" fontId="5" fillId="0" borderId="0" xfId="3" applyFont="1" applyAlignment="1">
      <alignment wrapText="1"/>
    </xf>
    <xf numFmtId="0" fontId="6" fillId="0" borderId="0" xfId="3" applyFont="1"/>
    <xf numFmtId="0" fontId="6" fillId="0" borderId="0" xfId="3" applyFont="1" applyAlignment="1">
      <alignment wrapText="1"/>
    </xf>
    <xf numFmtId="0" fontId="6" fillId="0" borderId="0" xfId="3" applyNumberFormat="1" applyFont="1" applyAlignment="1">
      <alignment wrapText="1"/>
    </xf>
    <xf numFmtId="0" fontId="7" fillId="0" borderId="0" xfId="3" applyFont="1" applyAlignment="1">
      <alignment wrapText="1"/>
    </xf>
    <xf numFmtId="0" fontId="8" fillId="0" borderId="0" xfId="3" applyFont="1"/>
    <xf numFmtId="2" fontId="11" fillId="0" borderId="2" xfId="0" applyNumberFormat="1" applyFont="1" applyFill="1" applyBorder="1" applyAlignment="1"/>
    <xf numFmtId="3" fontId="11" fillId="0" borderId="2" xfId="0" applyNumberFormat="1" applyFont="1" applyBorder="1"/>
    <xf numFmtId="164" fontId="11" fillId="0" borderId="2" xfId="0" applyNumberFormat="1" applyFont="1" applyBorder="1"/>
    <xf numFmtId="2" fontId="11" fillId="0" borderId="3" xfId="0" applyNumberFormat="1" applyFont="1" applyFill="1" applyBorder="1" applyAlignment="1"/>
    <xf numFmtId="3" fontId="11" fillId="0" borderId="3" xfId="0" applyNumberFormat="1" applyFont="1" applyBorder="1"/>
    <xf numFmtId="164" fontId="11" fillId="0" borderId="3" xfId="0" applyNumberFormat="1" applyFont="1" applyBorder="1"/>
    <xf numFmtId="2" fontId="11" fillId="0" borderId="4" xfId="0" applyNumberFormat="1" applyFont="1" applyFill="1" applyBorder="1" applyAlignment="1"/>
    <xf numFmtId="3" fontId="11" fillId="0" borderId="4" xfId="0" applyNumberFormat="1" applyFont="1" applyBorder="1"/>
    <xf numFmtId="164" fontId="11" fillId="0" borderId="4" xfId="0" applyNumberFormat="1" applyFont="1" applyBorder="1"/>
    <xf numFmtId="0" fontId="12" fillId="3" borderId="1" xfId="2" applyFont="1" applyBorder="1" applyAlignment="1">
      <alignment horizontal="center" vertical="center" wrapText="1"/>
    </xf>
    <xf numFmtId="2" fontId="12" fillId="3" borderId="1" xfId="2" applyNumberFormat="1" applyFont="1" applyBorder="1" applyAlignment="1">
      <alignment horizontal="center" vertical="center" wrapText="1"/>
    </xf>
    <xf numFmtId="3" fontId="12" fillId="3" borderId="1" xfId="2" applyNumberFormat="1" applyFont="1" applyBorder="1" applyAlignment="1">
      <alignment horizontal="center" vertical="center" wrapText="1"/>
    </xf>
  </cellXfs>
  <cellStyles count="5">
    <cellStyle name="20% - Accent5" xfId="1" builtinId="46"/>
    <cellStyle name="Accent5" xfId="2" builtinId="45"/>
    <cellStyle name="Hyperlink" xfId="4" builtinId="8"/>
    <cellStyle name="Normal" xfId="0" builtinId="0"/>
    <cellStyle name="Normal_Reliability" xfId="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E5F4F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28573</xdr:colOff>
      <xdr:row>1</xdr:row>
      <xdr:rowOff>371475</xdr:rowOff>
    </xdr:from>
    <xdr:to>
      <xdr:col>5</xdr:col>
      <xdr:colOff>1019173</xdr:colOff>
      <xdr:row>2</xdr:row>
      <xdr:rowOff>180975</xdr:rowOff>
    </xdr:to>
    <xdr:sp macro="" textlink="">
      <xdr:nvSpPr>
        <xdr:cNvPr id="2" name="Left Brace 1" descr="b75966df-0e54-43fd-ad2b-6104f0c976c9"/>
        <xdr:cNvSpPr/>
      </xdr:nvSpPr>
      <xdr:spPr bwMode="auto">
        <a:xfrm rot="5400000">
          <a:off x="3609973" y="-542925"/>
          <a:ext cx="276225" cy="2790825"/>
        </a:xfrm>
        <a:prstGeom prst="leftBrace">
          <a:avLst/>
        </a:prstGeom>
        <a:solidFill>
          <a:srgbClr val="FFFFFF"/>
        </a:solidFill>
        <a:ln w="9525" cap="flat" cmpd="sng" algn="ctr">
          <a:solidFill>
            <a:schemeClr val="bg1">
              <a:lumMod val="50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twoCellAnchor>
  <xdr:twoCellAnchor>
    <xdr:from>
      <xdr:col>2</xdr:col>
      <xdr:colOff>28575</xdr:colOff>
      <xdr:row>1</xdr:row>
      <xdr:rowOff>371477</xdr:rowOff>
    </xdr:from>
    <xdr:to>
      <xdr:col>2</xdr:col>
      <xdr:colOff>895347</xdr:colOff>
      <xdr:row>2</xdr:row>
      <xdr:rowOff>180977</xdr:rowOff>
    </xdr:to>
    <xdr:sp macro="" textlink="">
      <xdr:nvSpPr>
        <xdr:cNvPr id="11" name="Left Brace 10" descr="cb8b7695-4c44-470a-8395-6a12898cf565"/>
        <xdr:cNvSpPr/>
      </xdr:nvSpPr>
      <xdr:spPr bwMode="auto">
        <a:xfrm rot="5400000">
          <a:off x="1733548" y="419104"/>
          <a:ext cx="276225" cy="866772"/>
        </a:xfrm>
        <a:prstGeom prst="leftBrace">
          <a:avLst/>
        </a:prstGeom>
        <a:solidFill>
          <a:srgbClr val="FFFFFF"/>
        </a:solidFill>
        <a:ln w="9525" cap="flat" cmpd="sng" algn="ctr">
          <a:solidFill>
            <a:schemeClr val="bg1">
              <a:lumMod val="50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twoCellAnchor>
  <xdr:twoCellAnchor>
    <xdr:from>
      <xdr:col>1</xdr:col>
      <xdr:colOff>438150</xdr:colOff>
      <xdr:row>1</xdr:row>
      <xdr:rowOff>161926</xdr:rowOff>
    </xdr:from>
    <xdr:to>
      <xdr:col>3</xdr:col>
      <xdr:colOff>390525</xdr:colOff>
      <xdr:row>1</xdr:row>
      <xdr:rowOff>428626</xdr:rowOff>
    </xdr:to>
    <xdr:sp macro="" textlink="">
      <xdr:nvSpPr>
        <xdr:cNvPr id="3" name="TextBox 2"/>
        <xdr:cNvSpPr txBox="1"/>
      </xdr:nvSpPr>
      <xdr:spPr>
        <a:xfrm>
          <a:off x="952500" y="504826"/>
          <a:ext cx="176212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6">
                  <a:lumMod val="75000"/>
                </a:schemeClr>
              </a:solidFill>
            </a:rPr>
            <a:t>Independent variable</a:t>
          </a:r>
        </a:p>
      </xdr:txBody>
    </xdr:sp>
    <xdr:clientData/>
  </xdr:twoCellAnchor>
  <xdr:twoCellAnchor>
    <xdr:from>
      <xdr:col>3</xdr:col>
      <xdr:colOff>600075</xdr:colOff>
      <xdr:row>1</xdr:row>
      <xdr:rowOff>171451</xdr:rowOff>
    </xdr:from>
    <xdr:to>
      <xdr:col>5</xdr:col>
      <xdr:colOff>628650</xdr:colOff>
      <xdr:row>1</xdr:row>
      <xdr:rowOff>438151</xdr:rowOff>
    </xdr:to>
    <xdr:sp macro="" textlink="">
      <xdr:nvSpPr>
        <xdr:cNvPr id="13" name="TextBox 12"/>
        <xdr:cNvSpPr txBox="1"/>
      </xdr:nvSpPr>
      <xdr:spPr>
        <a:xfrm>
          <a:off x="2962275" y="514351"/>
          <a:ext cx="199072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6">
                  <a:lumMod val="75000"/>
                </a:schemeClr>
              </a:solidFill>
            </a:rPr>
            <a:t>Dependent variables</a:t>
          </a:r>
        </a:p>
      </xdr:txBody>
    </xdr:sp>
    <xdr:clientData/>
  </xdr:twoCellAnchor>
  <xdr:twoCellAnchor>
    <xdr:from>
      <xdr:col>6</xdr:col>
      <xdr:colOff>609599</xdr:colOff>
      <xdr:row>5</xdr:row>
      <xdr:rowOff>123825</xdr:rowOff>
    </xdr:from>
    <xdr:to>
      <xdr:col>8</xdr:col>
      <xdr:colOff>28575</xdr:colOff>
      <xdr:row>8</xdr:row>
      <xdr:rowOff>161925</xdr:rowOff>
    </xdr:to>
    <xdr:sp macro="" textlink="">
      <xdr:nvSpPr>
        <xdr:cNvPr id="15" name="Rounded Rectangular Callout 14" descr="67fee5ed-5d08-401b-96b2-9618ceb3fefe"/>
        <xdr:cNvSpPr/>
      </xdr:nvSpPr>
      <xdr:spPr>
        <a:xfrm>
          <a:off x="5791199" y="2085975"/>
          <a:ext cx="1285876" cy="609600"/>
        </a:xfrm>
        <a:prstGeom prst="wedgeRoundRectCallout">
          <a:avLst>
            <a:gd name="adj1" fmla="val -80968"/>
            <a:gd name="adj2" fmla="val 53784"/>
            <a:gd name="adj3" fmla="val 16667"/>
          </a:avLst>
        </a:prstGeom>
        <a:solidFill>
          <a:srgbClr val="DBE5F1"/>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b="1">
              <a:solidFill>
                <a:schemeClr val="accent6">
                  <a:lumMod val="75000"/>
                </a:schemeClr>
              </a:solidFill>
            </a:rPr>
            <a:t>Five years</a:t>
          </a:r>
          <a:r>
            <a:rPr lang="en-US" sz="1100" b="1" baseline="0">
              <a:solidFill>
                <a:schemeClr val="accent6">
                  <a:lumMod val="75000"/>
                </a:schemeClr>
              </a:solidFill>
            </a:rPr>
            <a:t> of monthly data</a:t>
          </a:r>
          <a:endParaRPr lang="en-US" sz="1100" b="1">
            <a:solidFill>
              <a:schemeClr val="accent6">
                <a:lumMod val="75000"/>
              </a:schemeClr>
            </a:solidFill>
          </a:endParaRPr>
        </a:p>
        <a:p>
          <a:pPr algn="ctr"/>
          <a:endParaRPr lang="en-US" sz="1100" b="1">
            <a:solidFill>
              <a:schemeClr val="tx2"/>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B1:C55"/>
  <sheetViews>
    <sheetView showGridLines="0" showRowColHeaders="0" workbookViewId="0"/>
  </sheetViews>
  <sheetFormatPr defaultRowHeight="15" x14ac:dyDescent="0.25"/>
  <cols>
    <col min="1" max="1" width="9.140625" style="22"/>
    <col min="2" max="2" width="120.5703125" style="23" customWidth="1"/>
    <col min="3" max="16384" width="9.140625" style="22"/>
  </cols>
  <sheetData>
    <row r="1" spans="2:3" ht="22.5" x14ac:dyDescent="0.3">
      <c r="B1" s="25" t="s">
        <v>0</v>
      </c>
      <c r="C1" s="26"/>
    </row>
    <row r="2" spans="2:3" ht="18.75" customHeight="1" x14ac:dyDescent="0.3">
      <c r="B2" s="25"/>
      <c r="C2" s="26"/>
    </row>
    <row r="3" spans="2:3" x14ac:dyDescent="0.25">
      <c r="B3" s="21" t="s">
        <v>6</v>
      </c>
    </row>
    <row r="4" spans="2:3" x14ac:dyDescent="0.25">
      <c r="B4" s="23" t="s">
        <v>58</v>
      </c>
    </row>
    <row r="6" spans="2:3" x14ac:dyDescent="0.25">
      <c r="B6" s="21" t="s">
        <v>7</v>
      </c>
    </row>
    <row r="7" spans="2:3" ht="60" x14ac:dyDescent="0.25">
      <c r="B7" s="24" t="s">
        <v>8</v>
      </c>
    </row>
    <row r="8" spans="2:3" x14ac:dyDescent="0.25">
      <c r="B8" s="24"/>
    </row>
    <row r="9" spans="2:3" ht="30" x14ac:dyDescent="0.25">
      <c r="B9" s="21" t="s">
        <v>52</v>
      </c>
    </row>
    <row r="10" spans="2:3" x14ac:dyDescent="0.25">
      <c r="B10" s="21"/>
    </row>
    <row r="11" spans="2:3" x14ac:dyDescent="0.25">
      <c r="B11" s="21" t="s">
        <v>53</v>
      </c>
    </row>
    <row r="12" spans="2:3" x14ac:dyDescent="0.25">
      <c r="B12" s="21"/>
    </row>
    <row r="13" spans="2:3" x14ac:dyDescent="0.25">
      <c r="B13" s="21" t="s">
        <v>9</v>
      </c>
    </row>
    <row r="14" spans="2:3" ht="45" x14ac:dyDescent="0.25">
      <c r="B14" s="23" t="s">
        <v>11</v>
      </c>
    </row>
    <row r="16" spans="2:3" ht="90" x14ac:dyDescent="0.25">
      <c r="B16" s="23" t="s">
        <v>10</v>
      </c>
    </row>
    <row r="18" spans="2:2" ht="75" x14ac:dyDescent="0.25">
      <c r="B18" s="23" t="s">
        <v>12</v>
      </c>
    </row>
    <row r="20" spans="2:2" ht="30" x14ac:dyDescent="0.25">
      <c r="B20" s="23" t="s">
        <v>13</v>
      </c>
    </row>
    <row r="22" spans="2:2" x14ac:dyDescent="0.25">
      <c r="B22" s="21" t="s">
        <v>14</v>
      </c>
    </row>
    <row r="23" spans="2:2" ht="30" x14ac:dyDescent="0.25">
      <c r="B23" s="23" t="s">
        <v>15</v>
      </c>
    </row>
    <row r="25" spans="2:2" ht="30" x14ac:dyDescent="0.25">
      <c r="B25" s="24" t="s">
        <v>16</v>
      </c>
    </row>
    <row r="26" spans="2:2" x14ac:dyDescent="0.25">
      <c r="B26" s="24"/>
    </row>
    <row r="27" spans="2:2" ht="61.5" customHeight="1" x14ac:dyDescent="0.25">
      <c r="B27" s="24" t="s">
        <v>28</v>
      </c>
    </row>
    <row r="28" spans="2:2" x14ac:dyDescent="0.25">
      <c r="B28" s="24"/>
    </row>
    <row r="29" spans="2:2" ht="120" x14ac:dyDescent="0.25">
      <c r="B29" s="24" t="s">
        <v>17</v>
      </c>
    </row>
    <row r="30" spans="2:2" x14ac:dyDescent="0.25">
      <c r="B30" s="24"/>
    </row>
    <row r="31" spans="2:2" ht="30" x14ac:dyDescent="0.25">
      <c r="B31" s="23" t="s">
        <v>18</v>
      </c>
    </row>
    <row r="33" spans="2:2" x14ac:dyDescent="0.25">
      <c r="B33" s="23" t="s">
        <v>19</v>
      </c>
    </row>
    <row r="35" spans="2:2" ht="60" x14ac:dyDescent="0.25">
      <c r="B35" s="24" t="s">
        <v>20</v>
      </c>
    </row>
    <row r="37" spans="2:2" ht="45" x14ac:dyDescent="0.25">
      <c r="B37" s="24" t="s">
        <v>27</v>
      </c>
    </row>
    <row r="38" spans="2:2" x14ac:dyDescent="0.25">
      <c r="B38" s="24"/>
    </row>
    <row r="39" spans="2:2" ht="45" x14ac:dyDescent="0.25">
      <c r="B39" s="24" t="s">
        <v>21</v>
      </c>
    </row>
    <row r="40" spans="2:2" x14ac:dyDescent="0.25">
      <c r="B40" s="24"/>
    </row>
    <row r="41" spans="2:2" x14ac:dyDescent="0.25">
      <c r="B41" s="21" t="s">
        <v>29</v>
      </c>
    </row>
    <row r="42" spans="2:2" ht="43.5" customHeight="1" x14ac:dyDescent="0.25">
      <c r="B42" s="23" t="s">
        <v>31</v>
      </c>
    </row>
    <row r="44" spans="2:2" ht="30" x14ac:dyDescent="0.25">
      <c r="B44" s="23" t="s">
        <v>30</v>
      </c>
    </row>
    <row r="46" spans="2:2" x14ac:dyDescent="0.25">
      <c r="B46" s="21" t="s">
        <v>22</v>
      </c>
    </row>
    <row r="47" spans="2:2" ht="45" x14ac:dyDescent="0.25">
      <c r="B47" s="24" t="s">
        <v>23</v>
      </c>
    </row>
    <row r="48" spans="2:2" x14ac:dyDescent="0.25">
      <c r="B48" s="24"/>
    </row>
    <row r="49" spans="2:2" ht="75" x14ac:dyDescent="0.25">
      <c r="B49" s="24" t="s">
        <v>24</v>
      </c>
    </row>
    <row r="50" spans="2:2" x14ac:dyDescent="0.25">
      <c r="B50" s="24"/>
    </row>
    <row r="51" spans="2:2" ht="45" x14ac:dyDescent="0.25">
      <c r="B51" s="24" t="s">
        <v>25</v>
      </c>
    </row>
    <row r="52" spans="2:2" x14ac:dyDescent="0.25">
      <c r="B52" s="24"/>
    </row>
    <row r="53" spans="2:2" ht="45" x14ac:dyDescent="0.25">
      <c r="B53" s="24" t="s">
        <v>26</v>
      </c>
    </row>
    <row r="54" spans="2:2" x14ac:dyDescent="0.25">
      <c r="B54" s="24"/>
    </row>
    <row r="55" spans="2:2" ht="75" x14ac:dyDescent="0.25">
      <c r="B55" s="21" t="s">
        <v>54</v>
      </c>
    </row>
  </sheetData>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31"/>
  <sheetViews>
    <sheetView workbookViewId="0"/>
  </sheetViews>
  <sheetFormatPr defaultColWidth="7.28515625" defaultRowHeight="12.75" x14ac:dyDescent="0.2"/>
  <cols>
    <col min="1" max="2" width="36.7109375" customWidth="1"/>
    <col min="3" max="255" width="9.140625" customWidth="1"/>
  </cols>
  <sheetData>
    <row r="1" spans="1:3" x14ac:dyDescent="0.2">
      <c r="A1" s="15" t="s">
        <v>33</v>
      </c>
    </row>
    <row r="3" spans="1:3" x14ac:dyDescent="0.2">
      <c r="A3" t="s">
        <v>34</v>
      </c>
      <c r="B3" t="s">
        <v>35</v>
      </c>
      <c r="C3">
        <v>0</v>
      </c>
    </row>
    <row r="4" spans="1:3" x14ac:dyDescent="0.2">
      <c r="A4" t="s">
        <v>36</v>
      </c>
    </row>
    <row r="5" spans="1:3" x14ac:dyDescent="0.2">
      <c r="A5" t="s">
        <v>37</v>
      </c>
    </row>
    <row r="7" spans="1:3" x14ac:dyDescent="0.2">
      <c r="A7" s="15" t="s">
        <v>38</v>
      </c>
      <c r="B7" t="s">
        <v>39</v>
      </c>
    </row>
    <row r="8" spans="1:3" x14ac:dyDescent="0.2">
      <c r="B8">
        <v>2</v>
      </c>
    </row>
    <row r="10" spans="1:3" x14ac:dyDescent="0.2">
      <c r="A10" t="s">
        <v>40</v>
      </c>
    </row>
    <row r="11" spans="1:3" x14ac:dyDescent="0.2">
      <c r="A11" t="e">
        <f>CB_DATA_!#REF!</f>
        <v>#REF!</v>
      </c>
      <c r="B11" t="e">
        <f>Model!#REF!</f>
        <v>#REF!</v>
      </c>
    </row>
    <row r="13" spans="1:3" x14ac:dyDescent="0.2">
      <c r="A13" t="s">
        <v>41</v>
      </c>
    </row>
    <row r="14" spans="1:3" x14ac:dyDescent="0.2">
      <c r="A14" t="s">
        <v>50</v>
      </c>
      <c r="B14" t="s">
        <v>45</v>
      </c>
    </row>
    <row r="16" spans="1:3" x14ac:dyDescent="0.2">
      <c r="A16" t="s">
        <v>42</v>
      </c>
    </row>
    <row r="19" spans="1:2" x14ac:dyDescent="0.2">
      <c r="A19" t="s">
        <v>43</v>
      </c>
    </row>
    <row r="20" spans="1:2" x14ac:dyDescent="0.2">
      <c r="A20">
        <v>28</v>
      </c>
      <c r="B20">
        <v>31</v>
      </c>
    </row>
    <row r="25" spans="1:2" x14ac:dyDescent="0.2">
      <c r="A25" s="15" t="s">
        <v>44</v>
      </c>
    </row>
    <row r="26" spans="1:2" x14ac:dyDescent="0.2">
      <c r="A26" s="16" t="s">
        <v>46</v>
      </c>
      <c r="B26" s="16" t="s">
        <v>46</v>
      </c>
    </row>
    <row r="27" spans="1:2" x14ac:dyDescent="0.2">
      <c r="A27" t="s">
        <v>55</v>
      </c>
      <c r="B27" t="s">
        <v>56</v>
      </c>
    </row>
    <row r="28" spans="1:2" x14ac:dyDescent="0.2">
      <c r="A28" s="16" t="s">
        <v>47</v>
      </c>
      <c r="B28" s="16" t="s">
        <v>47</v>
      </c>
    </row>
    <row r="29" spans="1:2" x14ac:dyDescent="0.2">
      <c r="B29" s="16" t="s">
        <v>48</v>
      </c>
    </row>
    <row r="30" spans="1:2" x14ac:dyDescent="0.2">
      <c r="B30" t="s">
        <v>57</v>
      </c>
    </row>
    <row r="31" spans="1:2" x14ac:dyDescent="0.2">
      <c r="B31" s="16" t="s">
        <v>49</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79"/>
  <sheetViews>
    <sheetView showGridLines="0" tabSelected="1" workbookViewId="0">
      <selection activeCell="C5" sqref="C5"/>
    </sheetView>
  </sheetViews>
  <sheetFormatPr defaultRowHeight="15" outlineLevelRow="1" x14ac:dyDescent="0.25"/>
  <cols>
    <col min="1" max="1" width="7.7109375" style="2" customWidth="1"/>
    <col min="2" max="2" width="13.42578125" style="11" customWidth="1"/>
    <col min="3" max="3" width="14.28515625" style="3" customWidth="1"/>
    <col min="4" max="4" width="14.28515625" style="4" customWidth="1"/>
    <col min="5" max="5" width="15.140625" style="2" customWidth="1"/>
    <col min="6" max="6" width="16.28515625" style="2" customWidth="1"/>
    <col min="7" max="7" width="14.140625" style="2" customWidth="1"/>
    <col min="8" max="8" width="13.85546875" style="2" customWidth="1"/>
    <col min="9" max="9" width="23.42578125" style="2" customWidth="1"/>
    <col min="10" max="10" width="15.140625" style="2" customWidth="1"/>
    <col min="11" max="11" width="17.42578125" style="2" customWidth="1"/>
    <col min="12" max="12" width="8.5703125" style="2" customWidth="1"/>
    <col min="13" max="13" width="9.140625" style="2"/>
    <col min="14" max="14" width="9.42578125" style="2" customWidth="1"/>
    <col min="15" max="15" width="14" style="2" customWidth="1"/>
    <col min="16" max="16384" width="9.140625" style="2"/>
  </cols>
  <sheetData>
    <row r="1" spans="1:15" ht="27" customHeight="1" x14ac:dyDescent="0.3">
      <c r="B1" s="14" t="s">
        <v>0</v>
      </c>
      <c r="C1" s="10"/>
      <c r="H1" s="20" t="s">
        <v>51</v>
      </c>
    </row>
    <row r="2" spans="1:15" ht="39" customHeight="1" x14ac:dyDescent="0.25"/>
    <row r="3" spans="1:15" ht="21" customHeight="1" x14ac:dyDescent="0.25">
      <c r="A3" s="1" t="s">
        <v>5</v>
      </c>
      <c r="B3" s="12"/>
    </row>
    <row r="4" spans="1:15" ht="52.5" customHeight="1" x14ac:dyDescent="0.25">
      <c r="A4" s="1"/>
      <c r="B4" s="36" t="s">
        <v>1</v>
      </c>
      <c r="C4" s="37" t="s">
        <v>32</v>
      </c>
      <c r="D4" s="38" t="s">
        <v>2</v>
      </c>
      <c r="E4" s="36" t="s">
        <v>3</v>
      </c>
      <c r="F4" s="36" t="s">
        <v>4</v>
      </c>
      <c r="G4" s="5"/>
      <c r="H4" s="3"/>
      <c r="I4" s="6"/>
      <c r="J4" s="3"/>
      <c r="K4" s="3"/>
      <c r="L4" s="3"/>
      <c r="M4" s="3"/>
      <c r="N4" s="3"/>
      <c r="O4" s="6"/>
    </row>
    <row r="5" spans="1:15" outlineLevel="1" x14ac:dyDescent="0.25">
      <c r="B5" s="17">
        <v>42005</v>
      </c>
      <c r="C5" s="27">
        <v>92</v>
      </c>
      <c r="D5" s="28">
        <v>151</v>
      </c>
      <c r="E5" s="27">
        <v>31.97134092699141</v>
      </c>
      <c r="F5" s="29">
        <v>6.4</v>
      </c>
    </row>
    <row r="6" spans="1:15" outlineLevel="1" x14ac:dyDescent="0.25">
      <c r="B6" s="18">
        <v>42036</v>
      </c>
      <c r="C6" s="30">
        <v>53</v>
      </c>
      <c r="D6" s="31">
        <v>128</v>
      </c>
      <c r="E6" s="30">
        <v>30.88877873921831</v>
      </c>
      <c r="F6" s="32">
        <v>6.16</v>
      </c>
    </row>
    <row r="7" spans="1:15" outlineLevel="1" x14ac:dyDescent="0.25">
      <c r="B7" s="18">
        <v>42064</v>
      </c>
      <c r="C7" s="30">
        <v>84</v>
      </c>
      <c r="D7" s="31">
        <v>85</v>
      </c>
      <c r="E7" s="30">
        <v>41.173119523062795</v>
      </c>
      <c r="F7" s="32">
        <v>5.95</v>
      </c>
    </row>
    <row r="8" spans="1:15" outlineLevel="1" x14ac:dyDescent="0.25">
      <c r="B8" s="18">
        <v>42095</v>
      </c>
      <c r="C8" s="30">
        <v>54</v>
      </c>
      <c r="D8" s="31">
        <v>52</v>
      </c>
      <c r="E8" s="30">
        <v>44.962087180268654</v>
      </c>
      <c r="F8" s="32">
        <v>6.28</v>
      </c>
    </row>
    <row r="9" spans="1:15" outlineLevel="1" x14ac:dyDescent="0.25">
      <c r="B9" s="18">
        <v>42125</v>
      </c>
      <c r="C9" s="30">
        <v>5</v>
      </c>
      <c r="D9" s="31">
        <v>5</v>
      </c>
      <c r="E9" s="30">
        <v>66.342690388787446</v>
      </c>
      <c r="F9" s="32">
        <v>5.45</v>
      </c>
    </row>
    <row r="10" spans="1:15" outlineLevel="1" x14ac:dyDescent="0.25">
      <c r="B10" s="18">
        <v>42156</v>
      </c>
      <c r="C10" s="30">
        <v>63</v>
      </c>
      <c r="D10" s="31">
        <v>134</v>
      </c>
      <c r="E10" s="30">
        <v>70.402298592936603</v>
      </c>
      <c r="F10" s="32">
        <v>5.23</v>
      </c>
    </row>
    <row r="11" spans="1:15" outlineLevel="1" x14ac:dyDescent="0.25">
      <c r="B11" s="18">
        <v>42186</v>
      </c>
      <c r="C11" s="30">
        <v>46</v>
      </c>
      <c r="D11" s="31">
        <v>92</v>
      </c>
      <c r="E11" s="30">
        <v>71.755501327652979</v>
      </c>
      <c r="F11" s="32">
        <v>6.2</v>
      </c>
    </row>
    <row r="12" spans="1:15" outlineLevel="1" x14ac:dyDescent="0.25">
      <c r="B12" s="18">
        <v>42217</v>
      </c>
      <c r="C12" s="30">
        <v>40</v>
      </c>
      <c r="D12" s="31">
        <v>171</v>
      </c>
      <c r="E12" s="30">
        <v>74.732547344029001</v>
      </c>
      <c r="F12" s="32">
        <v>6.76</v>
      </c>
    </row>
    <row r="13" spans="1:15" outlineLevel="1" x14ac:dyDescent="0.25">
      <c r="B13" s="18">
        <v>42248</v>
      </c>
      <c r="C13" s="30">
        <v>72</v>
      </c>
      <c r="D13" s="31">
        <v>248</v>
      </c>
      <c r="E13" s="30">
        <v>64.177566013241247</v>
      </c>
      <c r="F13" s="32">
        <v>7.03</v>
      </c>
    </row>
    <row r="14" spans="1:15" outlineLevel="1" x14ac:dyDescent="0.25">
      <c r="B14" s="18">
        <v>42278</v>
      </c>
      <c r="C14" s="30">
        <v>59</v>
      </c>
      <c r="D14" s="31">
        <v>212</v>
      </c>
      <c r="E14" s="30">
        <v>50.916179213020726</v>
      </c>
      <c r="F14" s="32">
        <v>7.38</v>
      </c>
    </row>
    <row r="15" spans="1:15" outlineLevel="1" x14ac:dyDescent="0.25">
      <c r="B15" s="18">
        <v>42309</v>
      </c>
      <c r="C15" s="30">
        <v>104</v>
      </c>
      <c r="D15" s="31">
        <v>268</v>
      </c>
      <c r="E15" s="30">
        <v>39.549276241403135</v>
      </c>
      <c r="F15" s="32">
        <v>7.41</v>
      </c>
    </row>
    <row r="16" spans="1:15" outlineLevel="1" x14ac:dyDescent="0.25">
      <c r="B16" s="19">
        <v>42339</v>
      </c>
      <c r="C16" s="33">
        <v>78</v>
      </c>
      <c r="D16" s="34">
        <v>226</v>
      </c>
      <c r="E16" s="33">
        <v>41.173119523062795</v>
      </c>
      <c r="F16" s="35">
        <v>7.47</v>
      </c>
    </row>
    <row r="17" spans="2:6" outlineLevel="1" x14ac:dyDescent="0.25">
      <c r="B17" s="18">
        <v>42370</v>
      </c>
      <c r="C17" s="30">
        <v>119</v>
      </c>
      <c r="D17" s="31">
        <v>146</v>
      </c>
      <c r="E17" s="30">
        <v>35.219027490310722</v>
      </c>
      <c r="F17" s="32">
        <v>7.74</v>
      </c>
    </row>
    <row r="18" spans="2:6" outlineLevel="1" x14ac:dyDescent="0.25">
      <c r="B18" s="18">
        <v>42401</v>
      </c>
      <c r="C18" s="30">
        <v>57</v>
      </c>
      <c r="D18" s="31">
        <v>124</v>
      </c>
      <c r="E18" s="30">
        <v>36.301589678083829</v>
      </c>
      <c r="F18" s="32">
        <v>8.3000000000000007</v>
      </c>
    </row>
    <row r="19" spans="2:6" outlineLevel="1" x14ac:dyDescent="0.25">
      <c r="B19" s="18">
        <v>42430</v>
      </c>
      <c r="C19" s="30">
        <v>49</v>
      </c>
      <c r="D19" s="31">
        <v>97</v>
      </c>
      <c r="E19" s="30">
        <v>39.007995147516581</v>
      </c>
      <c r="F19" s="32">
        <v>7.05</v>
      </c>
    </row>
    <row r="20" spans="2:6" outlineLevel="1" x14ac:dyDescent="0.25">
      <c r="B20" s="18">
        <v>42461</v>
      </c>
      <c r="C20" s="30">
        <v>149</v>
      </c>
      <c r="D20" s="31">
        <v>403</v>
      </c>
      <c r="E20" s="30">
        <v>49.292335931361066</v>
      </c>
      <c r="F20" s="32">
        <v>6.99</v>
      </c>
    </row>
    <row r="21" spans="2:6" outlineLevel="1" x14ac:dyDescent="0.25">
      <c r="B21" s="18">
        <v>42491</v>
      </c>
      <c r="C21" s="30">
        <v>28</v>
      </c>
      <c r="D21" s="31">
        <v>285</v>
      </c>
      <c r="E21" s="30">
        <v>65.260128201014354</v>
      </c>
      <c r="F21" s="32">
        <v>6.56</v>
      </c>
    </row>
    <row r="22" spans="2:6" outlineLevel="1" x14ac:dyDescent="0.25">
      <c r="B22" s="18">
        <v>42522</v>
      </c>
      <c r="C22" s="30">
        <v>56</v>
      </c>
      <c r="D22" s="31">
        <v>315</v>
      </c>
      <c r="E22" s="30">
        <v>72.567422968482802</v>
      </c>
      <c r="F22" s="32">
        <v>6.19</v>
      </c>
    </row>
    <row r="23" spans="2:6" outlineLevel="1" x14ac:dyDescent="0.25">
      <c r="B23" s="18">
        <v>42552</v>
      </c>
      <c r="C23" s="30">
        <v>62</v>
      </c>
      <c r="D23" s="31">
        <v>346</v>
      </c>
      <c r="E23" s="30">
        <v>70.943579686823142</v>
      </c>
      <c r="F23" s="32">
        <v>7.29</v>
      </c>
    </row>
    <row r="24" spans="2:6" outlineLevel="1" x14ac:dyDescent="0.25">
      <c r="B24" s="18">
        <v>42583</v>
      </c>
      <c r="C24" s="30">
        <v>57</v>
      </c>
      <c r="D24" s="31">
        <v>247</v>
      </c>
      <c r="E24" s="30">
        <v>70.672939139879873</v>
      </c>
      <c r="F24" s="32">
        <v>7.81</v>
      </c>
    </row>
    <row r="25" spans="2:6" outlineLevel="1" x14ac:dyDescent="0.25">
      <c r="B25" s="18">
        <v>42614</v>
      </c>
      <c r="C25" s="30">
        <v>48</v>
      </c>
      <c r="D25" s="31">
        <v>288</v>
      </c>
      <c r="E25" s="30">
        <v>63.365644372411417</v>
      </c>
      <c r="F25" s="32">
        <v>7.63</v>
      </c>
    </row>
    <row r="26" spans="2:6" outlineLevel="1" x14ac:dyDescent="0.25">
      <c r="B26" s="18">
        <v>42644</v>
      </c>
      <c r="C26" s="30">
        <v>102</v>
      </c>
      <c r="D26" s="31">
        <v>315</v>
      </c>
      <c r="E26" s="30">
        <v>47.66849264970142</v>
      </c>
      <c r="F26" s="32">
        <v>7.72</v>
      </c>
    </row>
    <row r="27" spans="2:6" outlineLevel="1" x14ac:dyDescent="0.25">
      <c r="B27" s="18">
        <v>42675</v>
      </c>
      <c r="C27" s="30">
        <v>87</v>
      </c>
      <c r="D27" s="31">
        <v>293</v>
      </c>
      <c r="E27" s="30">
        <v>34.136465302537616</v>
      </c>
      <c r="F27" s="32">
        <v>8.7100000000000009</v>
      </c>
    </row>
    <row r="28" spans="2:6" outlineLevel="1" x14ac:dyDescent="0.25">
      <c r="B28" s="19">
        <v>42705</v>
      </c>
      <c r="C28" s="33">
        <v>100</v>
      </c>
      <c r="D28" s="34">
        <v>347</v>
      </c>
      <c r="E28" s="33">
        <v>45.23272772721193</v>
      </c>
      <c r="F28" s="35">
        <v>8.7799999999999994</v>
      </c>
    </row>
    <row r="29" spans="2:6" outlineLevel="1" x14ac:dyDescent="0.25">
      <c r="B29" s="18">
        <v>42736</v>
      </c>
      <c r="C29" s="30">
        <v>151</v>
      </c>
      <c r="D29" s="31">
        <v>393</v>
      </c>
      <c r="E29" s="30">
        <v>43.338243898609001</v>
      </c>
      <c r="F29" s="32">
        <v>8.8800000000000008</v>
      </c>
    </row>
    <row r="30" spans="2:6" outlineLevel="1" x14ac:dyDescent="0.25">
      <c r="B30" s="18">
        <v>42767</v>
      </c>
      <c r="C30" s="30">
        <v>133</v>
      </c>
      <c r="D30" s="31">
        <v>308</v>
      </c>
      <c r="E30" s="30">
        <v>36.030949131140552</v>
      </c>
      <c r="F30" s="32">
        <v>9.49</v>
      </c>
    </row>
    <row r="31" spans="2:6" outlineLevel="1" x14ac:dyDescent="0.25">
      <c r="B31" s="18">
        <v>42795</v>
      </c>
      <c r="C31" s="30">
        <v>150</v>
      </c>
      <c r="D31" s="31">
        <v>381</v>
      </c>
      <c r="E31" s="30">
        <v>39.549276241403135</v>
      </c>
      <c r="F31" s="32">
        <v>8.57</v>
      </c>
    </row>
    <row r="32" spans="2:6" outlineLevel="1" x14ac:dyDescent="0.25">
      <c r="B32" s="18">
        <v>42826</v>
      </c>
      <c r="C32" s="30">
        <v>98</v>
      </c>
      <c r="D32" s="31">
        <v>316</v>
      </c>
      <c r="E32" s="30">
        <v>51.186819759964003</v>
      </c>
      <c r="F32" s="32">
        <v>8.1300000000000008</v>
      </c>
    </row>
    <row r="33" spans="2:6" outlineLevel="1" x14ac:dyDescent="0.25">
      <c r="B33" s="18">
        <v>42856</v>
      </c>
      <c r="C33" s="30">
        <v>76</v>
      </c>
      <c r="D33" s="31">
        <v>324</v>
      </c>
      <c r="E33" s="30">
        <v>63.90692546629797</v>
      </c>
      <c r="F33" s="32">
        <v>8.01</v>
      </c>
    </row>
    <row r="34" spans="2:6" outlineLevel="1" x14ac:dyDescent="0.25">
      <c r="B34" s="18">
        <v>42887</v>
      </c>
      <c r="C34" s="30">
        <v>68</v>
      </c>
      <c r="D34" s="31">
        <v>524</v>
      </c>
      <c r="E34" s="30">
        <v>61.200519996865211</v>
      </c>
      <c r="F34" s="32">
        <v>7.77</v>
      </c>
    </row>
    <row r="35" spans="2:6" outlineLevel="1" x14ac:dyDescent="0.25">
      <c r="B35" s="18">
        <v>42917</v>
      </c>
      <c r="C35" s="30">
        <v>52</v>
      </c>
      <c r="D35" s="31">
        <v>330</v>
      </c>
      <c r="E35" s="30">
        <v>70.131658045993319</v>
      </c>
      <c r="F35" s="32">
        <v>8.35</v>
      </c>
    </row>
    <row r="36" spans="2:6" outlineLevel="1" x14ac:dyDescent="0.25">
      <c r="B36" s="18">
        <v>42948</v>
      </c>
      <c r="C36" s="30">
        <v>60</v>
      </c>
      <c r="D36" s="31">
        <v>334</v>
      </c>
      <c r="E36" s="30">
        <v>72.838063515426086</v>
      </c>
      <c r="F36" s="32">
        <v>7.75</v>
      </c>
    </row>
    <row r="37" spans="2:6" outlineLevel="1" x14ac:dyDescent="0.25">
      <c r="B37" s="18">
        <v>42979</v>
      </c>
      <c r="C37" s="30">
        <v>58</v>
      </c>
      <c r="D37" s="31">
        <v>368</v>
      </c>
      <c r="E37" s="30">
        <v>62.553722731581594</v>
      </c>
      <c r="F37" s="32">
        <v>8.75</v>
      </c>
    </row>
    <row r="38" spans="2:6" outlineLevel="1" x14ac:dyDescent="0.25">
      <c r="B38" s="18">
        <v>43009</v>
      </c>
      <c r="C38" s="30">
        <v>101</v>
      </c>
      <c r="D38" s="31">
        <v>415</v>
      </c>
      <c r="E38" s="30">
        <v>53.893225229396762</v>
      </c>
      <c r="F38" s="32">
        <v>9.27</v>
      </c>
    </row>
    <row r="39" spans="2:6" outlineLevel="1" x14ac:dyDescent="0.25">
      <c r="B39" s="18">
        <v>43040</v>
      </c>
      <c r="C39" s="30">
        <v>133</v>
      </c>
      <c r="D39" s="31">
        <v>387</v>
      </c>
      <c r="E39" s="30">
        <v>41.443760070006064</v>
      </c>
      <c r="F39" s="32">
        <v>8.8800000000000008</v>
      </c>
    </row>
    <row r="40" spans="2:6" outlineLevel="1" x14ac:dyDescent="0.25">
      <c r="B40" s="19">
        <v>43070</v>
      </c>
      <c r="C40" s="33">
        <v>180</v>
      </c>
      <c r="D40" s="34">
        <v>469</v>
      </c>
      <c r="E40" s="33">
        <v>34.407105849480892</v>
      </c>
      <c r="F40" s="35">
        <v>9.42</v>
      </c>
    </row>
    <row r="41" spans="2:6" outlineLevel="1" x14ac:dyDescent="0.25">
      <c r="B41" s="18">
        <v>43101</v>
      </c>
      <c r="C41" s="30">
        <v>146</v>
      </c>
      <c r="D41" s="31">
        <v>468</v>
      </c>
      <c r="E41" s="30">
        <v>25.475967800352787</v>
      </c>
      <c r="F41" s="32">
        <v>9.9</v>
      </c>
    </row>
    <row r="42" spans="2:6" outlineLevel="1" x14ac:dyDescent="0.25">
      <c r="B42" s="18">
        <v>43132</v>
      </c>
      <c r="C42" s="30">
        <v>182</v>
      </c>
      <c r="D42" s="31">
        <v>539</v>
      </c>
      <c r="E42" s="30">
        <v>21.957640690090201</v>
      </c>
      <c r="F42" s="32">
        <v>9.08</v>
      </c>
    </row>
    <row r="43" spans="2:6" outlineLevel="1" x14ac:dyDescent="0.25">
      <c r="B43" s="18">
        <v>43160</v>
      </c>
      <c r="C43" s="30">
        <v>179</v>
      </c>
      <c r="D43" s="31">
        <v>621</v>
      </c>
      <c r="E43" s="30">
        <v>35.219027490310722</v>
      </c>
      <c r="F43" s="32">
        <v>8.9600000000000009</v>
      </c>
    </row>
    <row r="44" spans="2:6" outlineLevel="1" x14ac:dyDescent="0.25">
      <c r="B44" s="18">
        <v>43191</v>
      </c>
      <c r="C44" s="30">
        <v>100</v>
      </c>
      <c r="D44" s="31">
        <v>513</v>
      </c>
      <c r="E44" s="30">
        <v>41.443760070006064</v>
      </c>
      <c r="F44" s="32">
        <v>9.23</v>
      </c>
    </row>
    <row r="45" spans="2:6" outlineLevel="1" x14ac:dyDescent="0.25">
      <c r="B45" s="18">
        <v>43221</v>
      </c>
      <c r="C45" s="30">
        <v>148</v>
      </c>
      <c r="D45" s="31">
        <v>431</v>
      </c>
      <c r="E45" s="30">
        <v>69.049095858220213</v>
      </c>
      <c r="F45" s="32">
        <v>7.66</v>
      </c>
    </row>
    <row r="46" spans="2:6" outlineLevel="1" x14ac:dyDescent="0.25">
      <c r="B46" s="18">
        <v>43252</v>
      </c>
      <c r="C46" s="30">
        <v>61</v>
      </c>
      <c r="D46" s="31">
        <v>522</v>
      </c>
      <c r="E46" s="30">
        <v>75.003187890972285</v>
      </c>
      <c r="F46" s="32">
        <v>8.17</v>
      </c>
    </row>
    <row r="47" spans="2:6" outlineLevel="1" x14ac:dyDescent="0.25">
      <c r="B47" s="18">
        <v>43282</v>
      </c>
      <c r="C47" s="30">
        <v>198</v>
      </c>
      <c r="D47" s="31">
        <v>793</v>
      </c>
      <c r="E47" s="30">
        <v>73.649985156255909</v>
      </c>
      <c r="F47" s="32">
        <v>8.33</v>
      </c>
    </row>
    <row r="48" spans="2:6" outlineLevel="1" x14ac:dyDescent="0.25">
      <c r="B48" s="18">
        <v>43313</v>
      </c>
      <c r="C48" s="30">
        <v>155</v>
      </c>
      <c r="D48" s="31">
        <v>711</v>
      </c>
      <c r="E48" s="30">
        <v>69.319736405163496</v>
      </c>
      <c r="F48" s="32">
        <v>8.8800000000000008</v>
      </c>
    </row>
    <row r="49" spans="2:6" outlineLevel="1" x14ac:dyDescent="0.25">
      <c r="B49" s="18">
        <v>43344</v>
      </c>
      <c r="C49" s="30">
        <v>117</v>
      </c>
      <c r="D49" s="31">
        <v>667</v>
      </c>
      <c r="E49" s="30">
        <v>66.61333093573073</v>
      </c>
      <c r="F49" s="32">
        <v>9.2200000000000006</v>
      </c>
    </row>
    <row r="50" spans="2:6" outlineLevel="1" x14ac:dyDescent="0.25">
      <c r="B50" s="18">
        <v>43374</v>
      </c>
      <c r="C50" s="30">
        <v>172</v>
      </c>
      <c r="D50" s="31">
        <v>714</v>
      </c>
      <c r="E50" s="30">
        <v>47.93913319664469</v>
      </c>
      <c r="F50" s="32">
        <v>9.44</v>
      </c>
    </row>
    <row r="51" spans="2:6" outlineLevel="1" x14ac:dyDescent="0.25">
      <c r="B51" s="18">
        <v>43405</v>
      </c>
      <c r="C51" s="30">
        <v>254</v>
      </c>
      <c r="D51" s="31">
        <v>873</v>
      </c>
      <c r="E51" s="30">
        <v>45.23272772721193</v>
      </c>
      <c r="F51" s="32">
        <v>9.5</v>
      </c>
    </row>
    <row r="52" spans="2:6" outlineLevel="1" x14ac:dyDescent="0.25">
      <c r="B52" s="19">
        <v>43435</v>
      </c>
      <c r="C52" s="33">
        <v>208</v>
      </c>
      <c r="D52" s="34">
        <v>815</v>
      </c>
      <c r="E52" s="33">
        <v>24.664046159522961</v>
      </c>
      <c r="F52" s="35">
        <v>9.82</v>
      </c>
    </row>
    <row r="53" spans="2:6" outlineLevel="1" x14ac:dyDescent="0.25">
      <c r="B53" s="18">
        <v>43466</v>
      </c>
      <c r="C53" s="30">
        <v>286</v>
      </c>
      <c r="D53" s="31">
        <v>778</v>
      </c>
      <c r="E53" s="30">
        <v>31.700700380048133</v>
      </c>
      <c r="F53" s="32">
        <v>10.31</v>
      </c>
    </row>
    <row r="54" spans="2:6" outlineLevel="1" x14ac:dyDescent="0.25">
      <c r="B54" s="18">
        <v>43497</v>
      </c>
      <c r="C54" s="30">
        <v>269</v>
      </c>
      <c r="D54" s="31">
        <v>640</v>
      </c>
      <c r="E54" s="30">
        <v>37.925432959743482</v>
      </c>
      <c r="F54" s="32">
        <v>10.37</v>
      </c>
    </row>
    <row r="55" spans="2:6" outlineLevel="1" x14ac:dyDescent="0.25">
      <c r="B55" s="18">
        <v>43525</v>
      </c>
      <c r="C55" s="30">
        <v>184</v>
      </c>
      <c r="D55" s="31">
        <v>532</v>
      </c>
      <c r="E55" s="30">
        <v>41.443760070006064</v>
      </c>
      <c r="F55" s="32">
        <v>8.9499999999999993</v>
      </c>
    </row>
    <row r="56" spans="2:6" outlineLevel="1" x14ac:dyDescent="0.25">
      <c r="B56" s="18">
        <v>43556</v>
      </c>
      <c r="C56" s="30">
        <v>167</v>
      </c>
      <c r="D56" s="31">
        <v>545</v>
      </c>
      <c r="E56" s="30">
        <v>47.397852102758137</v>
      </c>
      <c r="F56" s="32">
        <v>9.2899999999999991</v>
      </c>
    </row>
    <row r="57" spans="2:6" outlineLevel="1" x14ac:dyDescent="0.25">
      <c r="B57" s="18">
        <v>43586</v>
      </c>
      <c r="C57" s="30">
        <v>144</v>
      </c>
      <c r="D57" s="31">
        <v>658</v>
      </c>
      <c r="E57" s="30">
        <v>66.072049841844176</v>
      </c>
      <c r="F57" s="32">
        <v>8.2100000000000009</v>
      </c>
    </row>
    <row r="58" spans="2:6" outlineLevel="1" x14ac:dyDescent="0.25">
      <c r="B58" s="18">
        <v>43617</v>
      </c>
      <c r="C58" s="30">
        <v>97</v>
      </c>
      <c r="D58" s="31">
        <v>547</v>
      </c>
      <c r="E58" s="30">
        <v>65.801409294900907</v>
      </c>
      <c r="F58" s="32">
        <v>7.87</v>
      </c>
    </row>
    <row r="59" spans="2:6" outlineLevel="1" x14ac:dyDescent="0.25">
      <c r="B59" s="18">
        <v>43647</v>
      </c>
      <c r="C59" s="30">
        <v>214</v>
      </c>
      <c r="D59" s="31">
        <v>933</v>
      </c>
      <c r="E59" s="30">
        <v>73.649985156255909</v>
      </c>
      <c r="F59" s="32">
        <v>8.69</v>
      </c>
    </row>
    <row r="60" spans="2:6" outlineLevel="1" x14ac:dyDescent="0.25">
      <c r="B60" s="18">
        <v>43678</v>
      </c>
      <c r="C60" s="30">
        <v>229</v>
      </c>
      <c r="D60" s="31">
        <v>964</v>
      </c>
      <c r="E60" s="30">
        <v>73.649985156255909</v>
      </c>
      <c r="F60" s="32">
        <v>9.4</v>
      </c>
    </row>
    <row r="61" spans="2:6" outlineLevel="1" x14ac:dyDescent="0.25">
      <c r="B61" s="18">
        <v>43709</v>
      </c>
      <c r="C61" s="30">
        <v>194</v>
      </c>
      <c r="D61" s="31">
        <v>973</v>
      </c>
      <c r="E61" s="30">
        <v>63.90692546629797</v>
      </c>
      <c r="F61" s="32">
        <v>10.06</v>
      </c>
    </row>
    <row r="62" spans="2:6" outlineLevel="1" x14ac:dyDescent="0.25">
      <c r="B62" s="18">
        <v>43739</v>
      </c>
      <c r="C62" s="30">
        <v>245</v>
      </c>
      <c r="D62" s="31">
        <v>924</v>
      </c>
      <c r="E62" s="30">
        <v>48.75105483747452</v>
      </c>
      <c r="F62" s="32">
        <v>10.199999999999999</v>
      </c>
    </row>
    <row r="63" spans="2:6" outlineLevel="1" x14ac:dyDescent="0.25">
      <c r="B63" s="18">
        <v>43770</v>
      </c>
      <c r="C63" s="30">
        <v>256</v>
      </c>
      <c r="D63" s="31">
        <v>849</v>
      </c>
      <c r="E63" s="30">
        <v>39.278635694459865</v>
      </c>
      <c r="F63" s="32">
        <v>10.06</v>
      </c>
    </row>
    <row r="64" spans="2:6" outlineLevel="1" x14ac:dyDescent="0.25">
      <c r="B64" s="19">
        <v>43800</v>
      </c>
      <c r="C64" s="33">
        <v>276</v>
      </c>
      <c r="D64" s="34">
        <v>977</v>
      </c>
      <c r="E64" s="33">
        <v>44.150165539438831</v>
      </c>
      <c r="F64" s="35">
        <v>9.9</v>
      </c>
    </row>
    <row r="65" spans="2:6" x14ac:dyDescent="0.25">
      <c r="C65" s="2"/>
      <c r="D65" s="2"/>
    </row>
    <row r="66" spans="2:6" x14ac:dyDescent="0.25">
      <c r="C66" s="2"/>
      <c r="D66" s="2"/>
    </row>
    <row r="67" spans="2:6" x14ac:dyDescent="0.25">
      <c r="C67" s="2"/>
      <c r="D67" s="2"/>
    </row>
    <row r="68" spans="2:6" x14ac:dyDescent="0.25">
      <c r="C68" s="2"/>
      <c r="D68" s="2"/>
    </row>
    <row r="69" spans="2:6" x14ac:dyDescent="0.25">
      <c r="C69" s="2"/>
      <c r="D69" s="2"/>
    </row>
    <row r="70" spans="2:6" x14ac:dyDescent="0.25">
      <c r="C70" s="2"/>
      <c r="D70" s="2"/>
    </row>
    <row r="71" spans="2:6" x14ac:dyDescent="0.25">
      <c r="C71" s="2"/>
      <c r="D71" s="2"/>
    </row>
    <row r="72" spans="2:6" x14ac:dyDescent="0.25">
      <c r="C72" s="2"/>
      <c r="D72" s="2"/>
    </row>
    <row r="73" spans="2:6" x14ac:dyDescent="0.25">
      <c r="C73" s="2"/>
      <c r="D73" s="2"/>
    </row>
    <row r="74" spans="2:6" x14ac:dyDescent="0.25">
      <c r="C74" s="2"/>
      <c r="D74" s="2"/>
    </row>
    <row r="75" spans="2:6" x14ac:dyDescent="0.25">
      <c r="C75" s="2"/>
      <c r="D75" s="2"/>
    </row>
    <row r="76" spans="2:6" x14ac:dyDescent="0.25">
      <c r="C76" s="2"/>
      <c r="D76" s="2"/>
    </row>
    <row r="77" spans="2:6" x14ac:dyDescent="0.25">
      <c r="C77" s="2"/>
      <c r="D77" s="2"/>
    </row>
    <row r="78" spans="2:6" x14ac:dyDescent="0.25">
      <c r="C78" s="2"/>
      <c r="D78" s="2"/>
    </row>
    <row r="79" spans="2:6" x14ac:dyDescent="0.25">
      <c r="B79" s="13"/>
      <c r="C79" s="7"/>
      <c r="D79" s="8"/>
      <c r="E79" s="7"/>
      <c r="F79" s="9"/>
    </row>
  </sheetData>
  <phoneticPr fontId="0" type="noConversion"/>
  <hyperlinks>
    <hyperlink ref="H1" location="Description!A1" display="Learn about model"/>
  </hyperlinks>
  <printOptions gridLinesSet="0"/>
  <pageMargins left="0.75" right="0.75" top="1" bottom="1" header="0.5" footer="0.5"/>
  <pageSetup orientation="landscape" r:id="rId1"/>
  <headerFooter alignWithMargins="0">
    <oddHeader>&amp;f</oddHeader>
    <oddFooter>Page &amp;p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Description</vt:lpstr>
      <vt:lpstr>Model</vt:lpstr>
    </vt:vector>
  </TitlesOfParts>
  <Company>Oracle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Toledo Residential Gas Usage</dc:title>
  <dc:creator>Crystal Ball</dc:creator>
  <cp:keywords>usage forecasting, multiple linear regression, dependent gas, residential, utility, error, Predictor, Developer Kit</cp:keywords>
  <cp:lastModifiedBy>ewainwri</cp:lastModifiedBy>
  <cp:lastPrinted>2009-05-22T16:40:07Z</cp:lastPrinted>
  <dcterms:created xsi:type="dcterms:W3CDTF">1997-07-03T18:11:59Z</dcterms:created>
  <dcterms:modified xsi:type="dcterms:W3CDTF">2014-06-03T00:37:05Z</dcterms:modified>
  <cp:category>Demand forecasting</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