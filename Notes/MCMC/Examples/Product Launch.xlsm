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80" yWindow="120" windowWidth="18420" windowHeight="11580" activeTab="2"/>
  </bookViews>
  <sheets>
    <sheet name="Description" sheetId="20" r:id="rId1"/>
    <sheet name="CB_DATA_" sheetId="21" state="veryHidden" r:id="rId2"/>
    <sheet name="Decision Tree" sheetId="18" r:id="rId3"/>
    <sheet name="Discounted Cashflow" sheetId="17" r:id="rId4"/>
  </sheets>
  <externalReferences>
    <externalReference r:id="rId5"/>
  </externalReferences>
  <definedNames>
    <definedName name="_1__123Graph_ACHART_1" hidden="1">'[1]Teller 1'!#REF!</definedName>
    <definedName name="_2__123Graph_ACHART_2" hidden="1">'[1]Teller 1'!#REF!</definedName>
    <definedName name="_3__123Graph_ACHART_3" hidden="1">'[1]Teller 1'!#REF!</definedName>
    <definedName name="_4__123Graph_ACHART_4" hidden="1">'[1]Teller 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CB_0145661e1b874190939c4e4d4eaabf14" localSheetId="2" hidden="1">'Decision Tree'!$J$40</definedName>
    <definedName name="CB_01ba28779f734d0cafe64fff97b35da7" localSheetId="3" hidden="1">'Discounted Cashflow'!$C$8</definedName>
    <definedName name="CB_07f6c819272d4742be35fbb38d5521f4" localSheetId="2" hidden="1">'Decision Tree'!$N$39</definedName>
    <definedName name="CB_091153fff1514886a07c0c73d7ad21e6" localSheetId="3" hidden="1">'Discounted Cashflow'!$I$34</definedName>
    <definedName name="CB_0aebb3958c4e4327926f2461744ff9ea" localSheetId="3" hidden="1">'Discounted Cashflow'!$C$16</definedName>
    <definedName name="CB_0f549905f7ec40cfbefe433c1f7aecd1" localSheetId="3" hidden="1">'Discounted Cashflow'!$M$34</definedName>
    <definedName name="CB_13d423368242445aaaa6d1d5c1ab69a7" localSheetId="3" hidden="1">'Discounted Cashflow'!$D$16</definedName>
    <definedName name="CB_14bba48b3ad947b3ae9e5df4d3d1a621" localSheetId="3" hidden="1">'Discounted Cashflow'!$N$34</definedName>
    <definedName name="CB_1642f5f3974749c88488282f7b3a0ce4" localSheetId="2" hidden="1">'Decision Tree'!$J$38</definedName>
    <definedName name="CB_19383f8df7c7453bb7c48a6cc2344d8b" localSheetId="2" hidden="1">'Decision Tree'!$F$46</definedName>
    <definedName name="CB_1d8b6a3e8c184fe7a652f6bb5013ffa5" localSheetId="2" hidden="1">'Decision Tree'!$F$39</definedName>
    <definedName name="CB_22081ce0e0c847e48e12a0e87f90b6ef" localSheetId="3" hidden="1">'Discounted Cashflow'!$X$34</definedName>
    <definedName name="CB_31269a3f7925471a9881bc8def26b63a" localSheetId="3" hidden="1">'Discounted Cashflow'!$J$12</definedName>
    <definedName name="CB_3c83d6e3cc0c4954bbe88310ab177c92" localSheetId="3" hidden="1">'Discounted Cashflow'!$C$13</definedName>
    <definedName name="CB_3c84579ddb974f35bcba4898dc3e55a6" localSheetId="2" hidden="1">'Decision Tree'!$N$38</definedName>
    <definedName name="CB_3d4a7ea3c67247939751cc10a7040b3e" localSheetId="2" hidden="1">'Decision Tree'!$J$39</definedName>
    <definedName name="CB_42dfe3c69a0d49029b70fe0688fab7a9" localSheetId="3" hidden="1">'Discounted Cashflow'!$D$34</definedName>
    <definedName name="CB_49e96ebe59ae430d90b9643d5265f8d4" localSheetId="3" hidden="1">'Discounted Cashflow'!$D$13</definedName>
    <definedName name="CB_518e67c964ca497097b071bc91ae60cf" localSheetId="3" hidden="1">'Discounted Cashflow'!$W$34</definedName>
    <definedName name="CB_52b51afb422e4c85a59a46622b27a39f" localSheetId="3" hidden="1">'Discounted Cashflow'!$D$15</definedName>
    <definedName name="CB_548e9bb154a7402885d0638e2b081f8c" localSheetId="3" hidden="1">'Discounted Cashflow'!$Y$34</definedName>
    <definedName name="CB_58b16bb2741743559542d2d2aaffbabd" localSheetId="3" hidden="1">'Discounted Cashflow'!$E$34</definedName>
    <definedName name="CB_5a8354ccabfc4c01973bdeca9acd5129" localSheetId="1" hidden="1">#N/A</definedName>
    <definedName name="CB_662ba8188b8a4bbfbd448049f61ea473" localSheetId="2" hidden="1">'Decision Tree'!$N$40</definedName>
    <definedName name="CB_72442e051d6d4ef4b8f23be79c9c043e" localSheetId="3" hidden="1">'Discounted Cashflow'!$C$9</definedName>
    <definedName name="CB_74011ddf95b8464cbf143fedcd4fd50a" localSheetId="2" hidden="1">'Decision Tree'!$N$37</definedName>
    <definedName name="CB_7521ec24cbd646f784fb46ef825c0111" localSheetId="2" hidden="1">'Decision Tree'!$J$37</definedName>
    <definedName name="CB_77505cd71e3f4f58a73d7a9579fc03ed" localSheetId="3" hidden="1">'Discounted Cashflow'!$F$34</definedName>
    <definedName name="CB_7b903bb179e14c63ac36ed268208c867" localSheetId="2" hidden="1">'Decision Tree'!$N$46</definedName>
    <definedName name="CB_7fa43b6e95ab4cae91ecdc872ed6b28b" localSheetId="2" hidden="1">'Decision Tree'!$F$40</definedName>
    <definedName name="CB_809e16fcb0444419b8eda3d75747f01f" localSheetId="2" hidden="1">'Decision Tree'!$F$37</definedName>
    <definedName name="CB_836e48536abb4f768e032667c120e018" localSheetId="1" hidden="1">#N/A</definedName>
    <definedName name="CB_84461a6a200d4766af6b0b19c6ff80db" localSheetId="3" hidden="1">'Discounted Cashflow'!$S$34</definedName>
    <definedName name="CB_860d22935dca492d8d9c755e274eabbf" localSheetId="1" hidden="1">#N/A</definedName>
    <definedName name="CB_886d326d43e4449281db9d6e93439de0" localSheetId="3" hidden="1">'Discounted Cashflow'!$O$34</definedName>
    <definedName name="CB_90901736cb1b4707ad63c0de9a101681" localSheetId="3" hidden="1">'Discounted Cashflow'!$P$34</definedName>
    <definedName name="CB_935d22a5dddb4eb3a559a1e09064a65f" localSheetId="3" hidden="1">'Discounted Cashflow'!$T$34</definedName>
    <definedName name="CB_a1f76a4144c04afab033f849ec148e7a" localSheetId="3" hidden="1">'Discounted Cashflow'!$K$34</definedName>
    <definedName name="CB_a6bfbafe2787499f95a55fcc9ed6c784" localSheetId="3" hidden="1">'Discounted Cashflow'!$V$34</definedName>
    <definedName name="CB_Block_00000000000000000000000000000000" localSheetId="1" hidden="1">"'7.0.0.0"</definedName>
    <definedName name="CB_Block_00000000000000000000000000000000" localSheetId="2" hidden="1">"'7.0.0.0"</definedName>
    <definedName name="CB_Block_00000000000000000000000000000000" localSheetId="3" hidden="1">"'7.0.0.0"</definedName>
    <definedName name="CB_Block_00000000000000000000000000000001" localSheetId="1" hidden="1">"'635446572505099509"</definedName>
    <definedName name="CB_Block_00000000000000000000000000000001" localSheetId="2" hidden="1">"'635446572505449529"</definedName>
    <definedName name="CB_Block_00000000000000000000000000000001" localSheetId="3" hidden="1">"'635446572506199572"</definedName>
    <definedName name="CB_Block_00000000000000000000000000000003" localSheetId="1" hidden="1">"'11.1.3998.0"</definedName>
    <definedName name="CB_Block_00000000000000000000000000000003" localSheetId="2" hidden="1">"'11.1.3998.0"</definedName>
    <definedName name="CB_Block_00000000000000000000000000000003" localSheetId="3" hidden="1">"'11.1.3998.0"</definedName>
    <definedName name="CB_BlockExt_00000000000000000000000000000003" localSheetId="1" hidden="1">"'11.1.2.4.000"</definedName>
    <definedName name="CB_BlockExt_00000000000000000000000000000003" localSheetId="2" hidden="1">"'11.1.2.4.000"</definedName>
    <definedName name="CB_BlockExt_00000000000000000000000000000003" localSheetId="3" hidden="1">"'11.1.2.4.000"</definedName>
    <definedName name="CB_c15ba8104d04458ba0262fd763e01c4c" localSheetId="3" hidden="1">'Discounted Cashflow'!$H$34</definedName>
    <definedName name="CB_c41a40b8a60546efbb2ceb14c4e874e5" localSheetId="3" hidden="1">'Discounted Cashflow'!$Q$34</definedName>
    <definedName name="CB_ccbf19ff0f0d4256b18911e3ce0b55a5" localSheetId="2" hidden="1">'Decision Tree'!$B$23</definedName>
    <definedName name="CB_ce9e158e80d84c01ab10b152ffbd3a29" localSheetId="3" hidden="1">'Discounted Cashflow'!$AA$34</definedName>
    <definedName name="CB_d264fb1aaebe4b57b6e3f087acf78680" localSheetId="3" hidden="1">'Discounted Cashflow'!$D$14</definedName>
    <definedName name="CB_dc9b8ef7b8c540b69380f2b6b548641f" localSheetId="3" hidden="1">'Discounted Cashflow'!$G$34</definedName>
    <definedName name="CB_df439c4b704a476eb3954eb8f49213c2" localSheetId="3" hidden="1">'Discounted Cashflow'!$J$34</definedName>
    <definedName name="CB_dfe1f5d1f9c84e3fb5598f63e4fbda60" localSheetId="3" hidden="1">'Discounted Cashflow'!$K$12</definedName>
    <definedName name="CB_e53a6a85d1674a2dac920c1d8348a721" localSheetId="3" hidden="1">'Discounted Cashflow'!$R$34</definedName>
    <definedName name="CB_e8db2f51d52941a7afa44d872fa5b973" localSheetId="3" hidden="1">'Discounted Cashflow'!$C$14</definedName>
    <definedName name="CB_ea7f5370670d46c18a86d031f9b0cc26" localSheetId="3" hidden="1">'Discounted Cashflow'!$L$34</definedName>
    <definedName name="CB_ecbf011eefd943b091663c4f2586b8e5" localSheetId="3" hidden="1">'Discounted Cashflow'!$C$7</definedName>
    <definedName name="CB_efae243637e547f9abdcf5605806c5bb" localSheetId="3" hidden="1">'Discounted Cashflow'!$U$34</definedName>
    <definedName name="CB_f0a6796d15b74f11bbf9a7ef0fd820b2" localSheetId="2" hidden="1">'Decision Tree'!$F$38</definedName>
    <definedName name="CB_f6a626d8227e41098611fb2d46174bee" localSheetId="2" hidden="1">'Decision Tree'!$J$46</definedName>
    <definedName name="CB_f6ed6124978548e5a81250446941876d" localSheetId="3" hidden="1">'Discounted Cashflow'!$C$15</definedName>
    <definedName name="CB_f8c9b768a3ab40d18113584914dcba7b" localSheetId="3" hidden="1">'Discounted Cashflow'!$Z$34</definedName>
    <definedName name="CBCR_08efcf12056c44eb97c17e5625b5083a" localSheetId="3" hidden="1">'Discounted Cashflow'!$E$10</definedName>
    <definedName name="CBCR_0a8f54d6cd98461282e9b28fbc351064" localSheetId="3" hidden="1">'Discounted Cashflow'!$E$14</definedName>
    <definedName name="CBCR_0b693524bc024ce7b745fdd36d12def3" localSheetId="3" hidden="1">'Discounted Cashflow'!$D$10</definedName>
    <definedName name="CBCR_0f6dfdfaf1d84683b92d691854f9fbd8" localSheetId="1" hidden="1">CB_DATA_!$C$10004</definedName>
    <definedName name="CBCR_10bc834852294d9eb7173713a99b9086" localSheetId="3" hidden="1">"Inflation - Year "&amp;'Discounted Cashflow'!$R$19</definedName>
    <definedName name="CBCR_11677876a1ad470890d17629d2db1a4b" localSheetId="3" hidden="1">"Inflation - Year "&amp;'Discounted Cashflow'!$P$19</definedName>
    <definedName name="CBCR_160045a7c78a4ddcb5ac6e1973986929" localSheetId="3" hidden="1">"Inflation - Year "&amp;'Discounted Cashflow'!$K$19</definedName>
    <definedName name="CBCR_1652ad898a504d87aabe28c5f6287f4b" localSheetId="3" hidden="1">'Discounted Cashflow'!$D$10</definedName>
    <definedName name="CBCR_1a866e1e3ac641ca8aaa19c1733cafe7" localSheetId="3" hidden="1">'Discounted Cashflow'!$D$10</definedName>
    <definedName name="CBCR_1c7a1731ccfd40f0bafeca8ffe0276f0" localSheetId="3" hidden="1">'Discounted Cashflow'!$D$10</definedName>
    <definedName name="CBCR_1dabe38cf995485abf5b76140cccda87" localSheetId="3" hidden="1">'Discounted Cashflow'!$E$16</definedName>
    <definedName name="CBCR_1dc348804306446dabc1e6f30c93836b" localSheetId="3" hidden="1">"Inflation - Year "&amp;'Discounted Cashflow'!$W$19</definedName>
    <definedName name="CBCR_1dfeaa13c8a8453fb8ead6f1e97901a4" localSheetId="3" hidden="1">'Discounted Cashflow'!$E$10</definedName>
    <definedName name="CBCR_21845853b4ae46319a1632613a305b4b" localSheetId="3" hidden="1">'Discounted Cashflow'!$E$10</definedName>
    <definedName name="CBCR_218f52e204fb4d988bfb5d8c3e6ba43b" localSheetId="3" hidden="1">"Inflation - Year "&amp;'Discounted Cashflow'!$V$19</definedName>
    <definedName name="CBCR_2af3a1dd369b46f0bb260d3b4823e256" localSheetId="3" hidden="1">"Inflation - Year "&amp;'Discounted Cashflow'!$Q$19</definedName>
    <definedName name="CBCR_2c3867a27a574f6ab2962335e77af5ef" localSheetId="3" hidden="1">"Inflation - Year "&amp;'Discounted Cashflow'!$H$19</definedName>
    <definedName name="CBCR_2c550863b9564ed19c0989d3ec87f6d0" localSheetId="3" hidden="1">'Discounted Cashflow'!$B$13</definedName>
    <definedName name="CBCR_2e79b04627af4ab289495a10d8f13d72" localSheetId="3" hidden="1">'Discounted Cashflow'!$G$15</definedName>
    <definedName name="CBCR_30a5ab09baeb4a0aa3838749f81f783b" localSheetId="2" hidden="1">'Decision Tree'!$J$47</definedName>
    <definedName name="CBCR_31c433c68a42464684be373e0b6d93e8" localSheetId="3" hidden="1">'Discounted Cashflow'!$D$10</definedName>
    <definedName name="CBCR_326d1b7f0e6849e3b83bd05dcfaa77b8" localSheetId="3" hidden="1">'Discounted Cashflow'!$B$16</definedName>
    <definedName name="CBCR_32dc15fc02cb4c78afa791d6fe96c6c0" localSheetId="1" hidden="1">CB_DATA_!$A$10001</definedName>
    <definedName name="CBCR_34af4c807a8c4b918e1799f3b0bf25a3" localSheetId="3" hidden="1">"Inflation - Year "&amp;'Discounted Cashflow'!$U$19</definedName>
    <definedName name="CBCR_34bfca17eed14c4c81193a6c59b21aad" localSheetId="3" hidden="1">'Discounted Cashflow'!$E$13</definedName>
    <definedName name="CBCR_351e1a5c5bd242b8839adf60ddbe2f36" localSheetId="3" hidden="1">"Inflation - Year "&amp;'Discounted Cashflow'!$T$19</definedName>
    <definedName name="CBCR_37a114a2905e492ca8975c11ee8b0b22" localSheetId="3" hidden="1">'Discounted Cashflow'!$D$10</definedName>
    <definedName name="CBCR_37fdb4dbec404251928777e65d631712" localSheetId="3" hidden="1">"Inflation - Year "&amp;'Discounted Cashflow'!$G$19</definedName>
    <definedName name="CBCR_3824cae7f2d7466bba7c6bca4a8f256c" localSheetId="3" hidden="1">'Discounted Cashflow'!$B$15</definedName>
    <definedName name="CBCR_38c9d896fd1a45a592fd1c2ff5fc21a8" localSheetId="3" hidden="1">'Discounted Cashflow'!$D$10</definedName>
    <definedName name="CBCR_3a496e4fdad84ec7898a8ae82b888f49" localSheetId="3" hidden="1">'Discounted Cashflow'!$E$13</definedName>
    <definedName name="CBCR_3a4d1b34bb41495cb723c5c34d06f96a" localSheetId="3" hidden="1">'Discounted Cashflow'!$D$10</definedName>
    <definedName name="CBCR_3bca5211b79a4a3a9bb7ac910563dbba" localSheetId="3" hidden="1">'Discounted Cashflow'!$E$10</definedName>
    <definedName name="CBCR_3c0ca08d10524f388688b241e4a74c9b" localSheetId="3" hidden="1">'Discounted Cashflow'!$E$10</definedName>
    <definedName name="CBCR_3e445dca72f34a568d2ecf0c8e89a589" localSheetId="3" hidden="1">'Discounted Cashflow'!$E$10</definedName>
    <definedName name="CBCR_3ee9adc3388041f086f1518d016f22b4" localSheetId="3" hidden="1">'Discounted Cashflow'!$D$10</definedName>
    <definedName name="CBCR_405736e4032144dd96f03dbc10fb5f17" localSheetId="3" hidden="1">'Discounted Cashflow'!$D$10</definedName>
    <definedName name="CBCR_41c4a79363014b798d30f77b86732453" localSheetId="3" hidden="1">"Inflation - Year "&amp;'Discounted Cashflow'!$D$19</definedName>
    <definedName name="CBCR_431e2a58c98d4e3ba20d06f1a8ef13b7" localSheetId="1" hidden="1">CB_DATA_!$D$10004</definedName>
    <definedName name="CBCR_4510e4a82ee24995b80bb98b9b333a9a" localSheetId="3" hidden="1">'Discounted Cashflow'!$B$13</definedName>
    <definedName name="CBCR_4cb74b04890f4e0487dc941fc1299cce" localSheetId="1" hidden="1">CB_DATA_!$A$10004</definedName>
    <definedName name="CBCR_4dc1dea5d82a4cf99591941c6803b896" localSheetId="3" hidden="1">"Inflation - Year "&amp;'Discounted Cashflow'!$N$19</definedName>
    <definedName name="CBCR_4df9f1563fa348d8a453f2004a32ec00" localSheetId="3" hidden="1">'Discounted Cashflow'!$D$10</definedName>
    <definedName name="CBCR_50687013ac474be888412e53b80df9f4" localSheetId="3" hidden="1">'Discounted Cashflow'!$E$15</definedName>
    <definedName name="CBCR_54491900e675426daba1a1339e5963d7" localSheetId="3" hidden="1">'Discounted Cashflow'!$E$14</definedName>
    <definedName name="CBCR_5934b7f89aff46e1b06829b4108a806e" localSheetId="3" hidden="1">'Discounted Cashflow'!$E$10</definedName>
    <definedName name="CBCR_5a27f23cca4e4a4494415fb39af93e52" localSheetId="3" hidden="1">"Inflation - Year "&amp;'Discounted Cashflow'!$F$19</definedName>
    <definedName name="CBCR_5ae8fc2c95b64afba18b61b483d24503" localSheetId="3" hidden="1">'Discounted Cashflow'!$D$10</definedName>
    <definedName name="CBCR_5b71f4ea28fa4c80b94e987a558d6f5d" localSheetId="3" hidden="1">"Inflation - Year "&amp;'Discounted Cashflow'!$Z$19</definedName>
    <definedName name="CBCR_5c8f65b2bfd844f7b2debd44556cc569" localSheetId="3" hidden="1">'Discounted Cashflow'!$I$12&amp;" - "&amp;'Discounted Cashflow'!$J$11</definedName>
    <definedName name="CBCR_62535d0e06e242bdb4c1591860a49d50" localSheetId="3" hidden="1">'Discounted Cashflow'!$D$10</definedName>
    <definedName name="CBCR_63b27bd5b81149349074c0dd0e49d7dc" localSheetId="3" hidden="1">'Discounted Cashflow'!$E$10</definedName>
    <definedName name="CBCR_68290f838fbf4a7cace97f88e5fa22f3" localSheetId="3" hidden="1">"Inflation - Year "&amp;'Discounted Cashflow'!$I$19</definedName>
    <definedName name="CBCR_682e7e94480f48d7a59ea5b7098b5294" localSheetId="3" hidden="1">'Discounted Cashflow'!$E$15</definedName>
    <definedName name="CBCR_696df89982c64612a66a3b86e7834eaf" localSheetId="3" hidden="1">'Discounted Cashflow'!$F$13</definedName>
    <definedName name="CBCR_6b6837e5ecf0427bbc81282fbefc07b4" localSheetId="3" hidden="1">'Discounted Cashflow'!$G$13</definedName>
    <definedName name="CBCR_75672c0725844b15bcc2a78520ccc673" localSheetId="3" hidden="1">'Discounted Cashflow'!$G$14</definedName>
    <definedName name="CBCR_784aa8245d8c4b3cbd75a86b44fabce8" localSheetId="3" hidden="1">'Discounted Cashflow'!$B$14</definedName>
    <definedName name="CBCR_7aae4e1d4a1048cbbdf2d44426fbafe1" localSheetId="3" hidden="1">'Discounted Cashflow'!$B$16</definedName>
    <definedName name="CBCR_8193729ee58a4b66b096c41aa8e47356" localSheetId="3" hidden="1">'Discounted Cashflow'!$D$10</definedName>
    <definedName name="CBCR_862ccccc49f847cabce64de074c86524" localSheetId="3" hidden="1">'Discounted Cashflow'!$E$10</definedName>
    <definedName name="CBCR_8931e0a649b34bb6b39d5dced4cf46a0" localSheetId="3" hidden="1">'Discounted Cashflow'!$E$10</definedName>
    <definedName name="CBCR_8b5d88b94f2049c2aa9e0bcb1ee76961" localSheetId="3" hidden="1">'Discounted Cashflow'!$N$13:$O$15</definedName>
    <definedName name="CBCR_8b86b64b77f6469b8190edbcfddf788d" localSheetId="3" hidden="1">'Discounted Cashflow'!$E$10</definedName>
    <definedName name="CBCR_8d783223db624a9abb6c697f3eb50382" localSheetId="3" hidden="1">'Discounted Cashflow'!$D$10</definedName>
    <definedName name="CBCR_8ef99f124cbe4d03888cccf681b685c0" localSheetId="3" hidden="1">"Inflation - Year "&amp;'Discounted Cashflow'!$AA$19</definedName>
    <definedName name="CBCR_92f583b3c77640f48a1dec3b73dade90" localSheetId="3" hidden="1">'Discounted Cashflow'!$E$10</definedName>
    <definedName name="CBCR_9b414ab0c9b14f52aed5c181e18f4363" localSheetId="3" hidden="1">'Discounted Cashflow'!$B$15</definedName>
    <definedName name="CBCR_9cf0953048214bec954c44ec0d573411" localSheetId="3" hidden="1">'Discounted Cashflow'!$G$13</definedName>
    <definedName name="CBCR_9d5b05967038413f8408ecd98de38426" localSheetId="3" hidden="1">'Discounted Cashflow'!$G$16</definedName>
    <definedName name="CBCR_9eb1ea0e5e934750aba930be0961732f" localSheetId="3" hidden="1">'Discounted Cashflow'!$E$10</definedName>
    <definedName name="CBCR_9f3d0d8f3845402e89f6c73184f5bea7" localSheetId="3" hidden="1">'Discounted Cashflow'!$E$16</definedName>
    <definedName name="CBCR_9f465b4a1915492d9668ab564f25d643" localSheetId="3" hidden="1">"Inflation - Year "&amp;'Discounted Cashflow'!$S$19</definedName>
    <definedName name="CBCR_9f6a5fff7a2949bbb816220ab7418ce8" localSheetId="3" hidden="1">'Discounted Cashflow'!$E$10</definedName>
    <definedName name="CBCR_a0742ce2fb864618b35245bf9951c760" localSheetId="3" hidden="1">'Discounted Cashflow'!$D$10</definedName>
    <definedName name="CBCR_a10bf62d7a354272a52ea5d818f77fcb" localSheetId="3" hidden="1">'Discounted Cashflow'!$E$10</definedName>
    <definedName name="CBCR_a8ee803d96f84afcbef19e584c8b7b74" localSheetId="3" hidden="1">'Discounted Cashflow'!$D$10</definedName>
    <definedName name="CBCR_ad623e48496d41638f67953fc5618953" localSheetId="2" hidden="1">'Decision Tree'!$N$47</definedName>
    <definedName name="CBCR_ae1e9921e76f48e282359fde9dedc80e" localSheetId="3" hidden="1">"Inflation - Year "&amp;'Discounted Cashflow'!$E$19</definedName>
    <definedName name="CBCR_b6d75cc1ef65488d96b4531c94e61c15" localSheetId="3" hidden="1">'Discounted Cashflow'!$G$16</definedName>
    <definedName name="CBCR_b747e8c09429431bb5d2299c4570fd94" localSheetId="2" hidden="1">'Decision Tree'!$N$48</definedName>
    <definedName name="CBCR_b76b22405a1340f1ac83b3160fa8c89e" localSheetId="3" hidden="1">'Discounted Cashflow'!$D$10</definedName>
    <definedName name="CBCR_b797738aec144b44bc4f21847aa6abf1" localSheetId="2" hidden="1">'Decision Tree'!$F$47</definedName>
    <definedName name="CBCR_b905fb5c2d174a9f8482d620e1de70b6" localSheetId="3" hidden="1">"Inflation - Year "&amp;'Discounted Cashflow'!$M$19</definedName>
    <definedName name="CBCR_b92d8fb12feb41dc99db353c754ac87d" localSheetId="3" hidden="1">'Discounted Cashflow'!$G$15</definedName>
    <definedName name="CBCR_ba7f126e33624e8ea8af9e9a7572f1e2" localSheetId="3" hidden="1">'Discounted Cashflow'!$D$10</definedName>
    <definedName name="CBCR_bc0ed13547564c2cb4457b9bdca72ffd" localSheetId="3" hidden="1">'Discounted Cashflow'!$E$10</definedName>
    <definedName name="CBCR_bc479fd71ffa46a99febb2fd3681cd74" localSheetId="3" hidden="1">'Discounted Cashflow'!$F$14</definedName>
    <definedName name="CBCR_beb7745eca4142c3845b2cf091cc5566" localSheetId="2" hidden="1">'Decision Tree'!$F$49</definedName>
    <definedName name="CBCR_c1349bb3954541128aec432aeca0eb9a" localSheetId="3" hidden="1">'Discounted Cashflow'!$E$10</definedName>
    <definedName name="CBCR_c2115b7ba3a347bb9143c41cfc499c6b" localSheetId="3" hidden="1">'Discounted Cashflow'!$E$10</definedName>
    <definedName name="CBCR_c5640252f17649b89df2ef912205e0fd" localSheetId="3" hidden="1">'Discounted Cashflow'!$E$10</definedName>
    <definedName name="CBCR_c7f7a7c7a2b544af810f9abb0c0768ad" localSheetId="3" hidden="1">'Discounted Cashflow'!$E$10</definedName>
    <definedName name="CBCR_c82f8a43c6524ec0b8934a6c40884978" localSheetId="3" hidden="1">"Inflation - Year "&amp;'Discounted Cashflow'!$Y$19</definedName>
    <definedName name="CBCR_c9fd00f164df4dd4b7b7332a603ee492" localSheetId="3" hidden="1">'Discounted Cashflow'!$D$10</definedName>
    <definedName name="CBCR_caef067d8dd94361abb9f70f3603142b" localSheetId="3" hidden="1">'Discounted Cashflow'!$I$12&amp;" - "&amp;'Discounted Cashflow'!$K$11</definedName>
    <definedName name="CBCR_cbb1881100a9476e8609ee4fb7efc8cd" localSheetId="2" hidden="1">'Decision Tree'!$J$49</definedName>
    <definedName name="CBCR_cc031634df8049eba62b97c9c27c0d22" localSheetId="3" hidden="1">'Discounted Cashflow'!$D$10</definedName>
    <definedName name="CBCR_d31500fa32ea4dde81eb34a936add71f" localSheetId="3" hidden="1">'Discounted Cashflow'!$D$10</definedName>
    <definedName name="CBCR_d33aa59900d84b13b73af1f5eec6dacd" localSheetId="3" hidden="1">'Discounted Cashflow'!$G$14</definedName>
    <definedName name="CBCR_d77a2bbdc0134edaa025d1e5daf9e936" localSheetId="3" hidden="1">'Discounted Cashflow'!$E$10</definedName>
    <definedName name="CBCR_dad34cb2caf44fe3b8ad30ec865530d4" localSheetId="3" hidden="1">"Inflation - Year "&amp;'Discounted Cashflow'!$J$19</definedName>
    <definedName name="CBCR_dc9dbf0b84794eb3b8155fd5610e10ce" localSheetId="3" hidden="1">'Discounted Cashflow'!$D$10</definedName>
    <definedName name="CBCR_dd4a561d46324801a95867059fd48704" localSheetId="3" hidden="1">'Discounted Cashflow'!$E$10</definedName>
    <definedName name="CBCR_df58c1739bad46ac8095cca2d7f2a846" localSheetId="2" hidden="1">'Decision Tree'!$F$48</definedName>
    <definedName name="CBCR_e103aa84b1fa46d4a1983019dcb5428c" localSheetId="3" hidden="1">'Discounted Cashflow'!$E$10</definedName>
    <definedName name="CBCR_e180d039b8ac4386b78a612be2fcca29" localSheetId="2" hidden="1">'Decision Tree'!$J$48</definedName>
    <definedName name="CBCR_e7bce09d9bbd403ba9c1e268ec196491" localSheetId="3" hidden="1">'Discounted Cashflow'!$B$14</definedName>
    <definedName name="CBCR_e7e090fada7541cabb2043b6ba86788c" localSheetId="3" hidden="1">"Inflation - Year "&amp;'Discounted Cashflow'!$L$19</definedName>
    <definedName name="CBCR_e9035b196ee544c58f25288371146677" localSheetId="3" hidden="1">"Inflation - Year "&amp;'Discounted Cashflow'!$O$19</definedName>
    <definedName name="CBCR_edb4019bdb504817a393186986829c9a" localSheetId="3" hidden="1">'Discounted Cashflow'!$F$15</definedName>
    <definedName name="CBCR_f37f64ec63364625b580961a04a65ca6" localSheetId="3" hidden="1">'Discounted Cashflow'!$F$16</definedName>
    <definedName name="CBCR_f442fdf6fc1642fbb9736938a18b7910" localSheetId="1" hidden="1">CB_DATA_!$B$10004</definedName>
    <definedName name="CBCR_f845ff8f17df4b3ca478db39b44752da" localSheetId="3" hidden="1">'Discounted Cashflow'!$D$10</definedName>
    <definedName name="CBCR_f8c7a212074d4b5eaee80cb11044cfdf" localSheetId="3" hidden="1">'Discounted Cashflow'!$E$10</definedName>
    <definedName name="CBCR_fe9095c7b095416eaf7ff625f2771e96" localSheetId="3" hidden="1">"Inflation - Year "&amp;'Discounted Cashflow'!$X$19</definedName>
    <definedName name="CBCR_ff96bdef96434f60849ff6d66f51cbac" localSheetId="2" hidden="1">'Decision Tree'!$N$49</definedName>
    <definedName name="CBWorkbookPriority" localSheetId="1" hidden="1">-587026267</definedName>
    <definedName name="CBx_035d7791db474fcf8935affcc99d14f0" localSheetId="1" hidden="1">"'CB_DATA_'!$A$1"</definedName>
    <definedName name="CBx_7518e22ffad14ca48c1f654012702b4f" localSheetId="1" hidden="1">"'Simulation'!$A$1"</definedName>
    <definedName name="CBx_bba8dec1cc954dfd8a6a402ad149e387" localSheetId="1" hidden="1">"'Decision Tree'!$A$1"</definedName>
    <definedName name="CBx_f6109e2fd06c42aba90b0dcfd4cfe1e7" localSheetId="1" hidden="1">"'Discounted Cashflow'!$A$1"</definedName>
    <definedName name="CBx_Sheet_Guid" localSheetId="1" hidden="1">"'035d7791-db47-4fcf-8935-affcc99d14f0"</definedName>
    <definedName name="CBx_Sheet_Guid" localSheetId="2" hidden="1">"'bba8dec1-cc95-4dfd-8a6a-402ad149e387"</definedName>
    <definedName name="CBx_Sheet_Guid" localSheetId="3" hidden="1">"'f6109e2f-d06c-42ab-a90b-0dcfd4cfe1e7"</definedName>
    <definedName name="CBx_SheetRef" localSheetId="1" hidden="1">CB_DATA_!$A$14</definedName>
    <definedName name="CBx_SheetRef" localSheetId="2" hidden="1">CB_DATA_!$B$14</definedName>
    <definedName name="CBx_SheetRef" localSheetId="3" hidden="1">CB_DATA_!$C$14</definedName>
    <definedName name="CBx_StorageType" localSheetId="1" hidden="1">2</definedName>
    <definedName name="CBx_StorageType" localSheetId="2" hidden="1">2</definedName>
    <definedName name="CBx_StorageType" localSheetId="3" hidden="1">2</definedName>
    <definedName name="Cost_of_Capital">'Discounted Cashflow'!$C$9</definedName>
    <definedName name="Current_Year">'Discounted Cashflow'!$C$5</definedName>
    <definedName name="MarketShareRatio">'Discounted Cashflow'!$Q$9</definedName>
    <definedName name="Pal_Workbook_GUID" hidden="1">"FBPSZTCHZQBH3UKPXN15RRE1"</definedName>
    <definedName name="ProductHorizon">'Discounted Cashflow'!$H$16</definedName>
    <definedName name="Production_Start">'Discounted Cashflow'!$C$6</definedName>
    <definedName name="Project_Start">'Discounted Cashflow'!$C$4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imOpt_Var">'Discounted Cashflow'!$G$7</definedName>
    <definedName name="TurnAroundCost">'Discounted Cashflow'!$H$14</definedName>
    <definedName name="WT">'[1]Teller 1'!#REF!</definedName>
  </definedNames>
  <calcPr calcId="145621" concurrentCalc="0" concurrentManualCount="1"/>
</workbook>
</file>

<file path=xl/calcChain.xml><?xml version="1.0" encoding="utf-8"?>
<calcChain xmlns="http://schemas.openxmlformats.org/spreadsheetml/2006/main">
  <c r="A10004" i="21" l="1"/>
  <c r="C10004" i="21"/>
  <c r="D10004" i="21"/>
  <c r="B10004" i="21"/>
  <c r="F34" i="18"/>
  <c r="F52" i="18"/>
  <c r="J6" i="17"/>
  <c r="J34" i="18"/>
  <c r="J41" i="18"/>
  <c r="J42" i="18"/>
  <c r="K8" i="17"/>
  <c r="K9" i="17"/>
  <c r="J52" i="18"/>
  <c r="K6" i="17"/>
  <c r="N34" i="18"/>
  <c r="N41" i="18"/>
  <c r="N42" i="18"/>
  <c r="L8" i="17"/>
  <c r="L9" i="17"/>
  <c r="C43" i="17"/>
  <c r="H16" i="17"/>
  <c r="C27" i="17"/>
  <c r="D43" i="17"/>
  <c r="D27" i="17"/>
  <c r="E43" i="17"/>
  <c r="E27" i="17"/>
  <c r="F43" i="17"/>
  <c r="F27" i="17"/>
  <c r="G43" i="17"/>
  <c r="G27" i="17"/>
  <c r="H43" i="17"/>
  <c r="H27" i="17"/>
  <c r="I43" i="17"/>
  <c r="I27" i="17"/>
  <c r="J43" i="17"/>
  <c r="J27" i="17"/>
  <c r="K43" i="17"/>
  <c r="K27" i="17"/>
  <c r="L43" i="17"/>
  <c r="L27" i="17"/>
  <c r="M43" i="17"/>
  <c r="M27" i="17"/>
  <c r="N43" i="17"/>
  <c r="N27" i="17"/>
  <c r="N52" i="18"/>
  <c r="L6" i="17"/>
  <c r="F41" i="18"/>
  <c r="F42" i="18"/>
  <c r="J8" i="17"/>
  <c r="J9" i="17"/>
  <c r="G30" i="18"/>
  <c r="T39" i="18"/>
  <c r="I14" i="18"/>
  <c r="T38" i="18"/>
  <c r="E18" i="18"/>
  <c r="T40" i="18"/>
  <c r="M10" i="18"/>
  <c r="C6" i="17"/>
  <c r="C52" i="17"/>
  <c r="D52" i="17"/>
  <c r="E52" i="17"/>
  <c r="F52" i="17"/>
  <c r="G52" i="17"/>
  <c r="H52" i="17"/>
  <c r="I52" i="17"/>
  <c r="J52" i="17"/>
  <c r="K52" i="17"/>
  <c r="L52" i="17"/>
  <c r="M52" i="17"/>
  <c r="N52" i="17"/>
  <c r="O27" i="17"/>
  <c r="P27" i="17"/>
  <c r="Q27" i="17"/>
  <c r="R27" i="17"/>
  <c r="S27" i="17"/>
  <c r="T27" i="17"/>
  <c r="U27" i="17"/>
  <c r="V27" i="17"/>
  <c r="W27" i="17"/>
  <c r="X27" i="17"/>
  <c r="Y27" i="17"/>
  <c r="Z27" i="17"/>
  <c r="K30" i="18"/>
  <c r="O30" i="18"/>
  <c r="A10001" i="21"/>
  <c r="E15" i="17"/>
  <c r="G15" i="17"/>
  <c r="C10" i="17"/>
  <c r="C30" i="18"/>
  <c r="H14" i="17"/>
  <c r="H15" i="17"/>
  <c r="Q5" i="17"/>
  <c r="C35" i="17"/>
  <c r="D35" i="17"/>
  <c r="E35" i="17"/>
  <c r="J62" i="18"/>
  <c r="N62" i="18"/>
  <c r="F33" i="18"/>
  <c r="A11" i="21"/>
  <c r="C11" i="21"/>
  <c r="B11" i="21"/>
  <c r="C6" i="18"/>
  <c r="D26" i="17"/>
  <c r="E26" i="17"/>
  <c r="F26" i="17"/>
  <c r="G26" i="17"/>
  <c r="H26" i="17"/>
  <c r="I26" i="17"/>
  <c r="J26" i="17"/>
  <c r="K26" i="17"/>
  <c r="L26" i="17"/>
  <c r="M26" i="17"/>
  <c r="N26" i="17"/>
  <c r="O26" i="17"/>
  <c r="P26" i="17"/>
  <c r="Q26" i="17"/>
  <c r="G24" i="17"/>
  <c r="H24" i="17"/>
  <c r="I24" i="17"/>
  <c r="J24" i="17"/>
  <c r="K24" i="17"/>
  <c r="L24" i="17"/>
  <c r="M24" i="17"/>
  <c r="N24" i="17"/>
  <c r="O24" i="17"/>
  <c r="P24" i="17"/>
  <c r="Q24" i="17"/>
  <c r="R24" i="17"/>
  <c r="S24" i="17"/>
  <c r="T24" i="17"/>
  <c r="U24" i="17"/>
  <c r="V24" i="17"/>
  <c r="W24" i="17"/>
  <c r="X24" i="17"/>
  <c r="Y24" i="17"/>
  <c r="Z24" i="17"/>
  <c r="AA24" i="17"/>
  <c r="C5" i="18"/>
  <c r="J33" i="18"/>
  <c r="H23" i="17"/>
  <c r="I23" i="17"/>
  <c r="J23" i="17"/>
  <c r="K23" i="17"/>
  <c r="L23" i="17"/>
  <c r="M23" i="17"/>
  <c r="N23" i="17"/>
  <c r="O23" i="17"/>
  <c r="P23" i="17"/>
  <c r="Q23" i="17"/>
  <c r="R23" i="17"/>
  <c r="S23" i="17"/>
  <c r="T23" i="17"/>
  <c r="U23" i="17"/>
  <c r="V23" i="17"/>
  <c r="W23" i="17"/>
  <c r="X23" i="17"/>
  <c r="Y23" i="17"/>
  <c r="Z23" i="17"/>
  <c r="AA23" i="17"/>
  <c r="D19" i="17"/>
  <c r="E19" i="17"/>
  <c r="F19" i="17"/>
  <c r="G19" i="17"/>
  <c r="D25" i="17"/>
  <c r="E25" i="17"/>
  <c r="F25" i="17"/>
  <c r="G25" i="17"/>
  <c r="H25" i="17"/>
  <c r="I25" i="17"/>
  <c r="J25" i="17"/>
  <c r="K25" i="17"/>
  <c r="Q7" i="17"/>
  <c r="Q6" i="17"/>
  <c r="F35" i="17"/>
  <c r="F53" i="18"/>
  <c r="F62" i="18"/>
  <c r="N33" i="18"/>
  <c r="L25" i="17"/>
  <c r="M25" i="17"/>
  <c r="N25" i="17"/>
  <c r="O25" i="17"/>
  <c r="P25" i="17"/>
  <c r="Q25" i="17"/>
  <c r="R25" i="17"/>
  <c r="S25" i="17"/>
  <c r="T25" i="17"/>
  <c r="U25" i="17"/>
  <c r="V25" i="17"/>
  <c r="W25" i="17"/>
  <c r="X25" i="17"/>
  <c r="Y25" i="17"/>
  <c r="Z25" i="17"/>
  <c r="AA25" i="17"/>
  <c r="F61" i="18"/>
  <c r="J7" i="17"/>
  <c r="F58" i="18"/>
  <c r="E28" i="18"/>
  <c r="T27" i="18"/>
  <c r="F28" i="18"/>
  <c r="J5" i="17"/>
  <c r="H19" i="17"/>
  <c r="F63" i="18"/>
  <c r="G35" i="17"/>
  <c r="I23" i="18"/>
  <c r="T22" i="18"/>
  <c r="J23" i="18"/>
  <c r="J53" i="18"/>
  <c r="K5" i="17"/>
  <c r="J58" i="18"/>
  <c r="K7" i="17"/>
  <c r="J61" i="18"/>
  <c r="J63" i="18"/>
  <c r="I19" i="17"/>
  <c r="H35" i="17"/>
  <c r="N53" i="18"/>
  <c r="T33" i="18"/>
  <c r="R30" i="18"/>
  <c r="L7" i="17"/>
  <c r="N58" i="18"/>
  <c r="L5" i="17"/>
  <c r="N61" i="18"/>
  <c r="N63" i="18"/>
  <c r="J19" i="17"/>
  <c r="I35" i="17"/>
  <c r="K19" i="17"/>
  <c r="J35" i="17"/>
  <c r="T41" i="18"/>
  <c r="L19" i="17"/>
  <c r="K35" i="17"/>
  <c r="M18" i="18"/>
  <c r="T17" i="18"/>
  <c r="N18" i="18"/>
  <c r="T12" i="18"/>
  <c r="R13" i="18"/>
  <c r="M19" i="17"/>
  <c r="L35" i="17"/>
  <c r="N19" i="17"/>
  <c r="M35" i="17"/>
  <c r="O19" i="17"/>
  <c r="N35" i="17"/>
  <c r="P19" i="17"/>
  <c r="O35" i="17"/>
  <c r="Q19" i="17"/>
  <c r="P35" i="17"/>
  <c r="R19" i="17"/>
  <c r="Q35" i="17"/>
  <c r="S19" i="17"/>
  <c r="O43" i="17"/>
  <c r="P43" i="17"/>
  <c r="Q43" i="17"/>
  <c r="R43" i="17"/>
  <c r="S43" i="17"/>
  <c r="T43" i="17"/>
  <c r="U43" i="17"/>
  <c r="V43" i="17"/>
  <c r="W43" i="17"/>
  <c r="X43" i="17"/>
  <c r="Y43" i="17"/>
  <c r="Z43" i="17"/>
  <c r="AA43" i="17"/>
  <c r="R35" i="17"/>
  <c r="T19" i="17"/>
  <c r="S35" i="17"/>
  <c r="U19" i="17"/>
  <c r="T35" i="17"/>
  <c r="O52" i="17"/>
  <c r="V19" i="17"/>
  <c r="U35" i="17"/>
  <c r="P52" i="17"/>
  <c r="W19" i="17"/>
  <c r="V35" i="17"/>
  <c r="Q52" i="17"/>
  <c r="X19" i="17"/>
  <c r="W35" i="17"/>
  <c r="R52" i="17"/>
  <c r="Y19" i="17"/>
  <c r="X35" i="17"/>
  <c r="S52" i="17"/>
  <c r="Z19" i="17"/>
  <c r="Y35" i="17"/>
  <c r="T52" i="17"/>
  <c r="AA19" i="17"/>
  <c r="Z35" i="17"/>
  <c r="U52" i="17"/>
  <c r="AA35" i="17"/>
  <c r="V52" i="17"/>
  <c r="W52" i="17"/>
  <c r="AA27" i="17"/>
  <c r="X52" i="17"/>
  <c r="Y52" i="17"/>
  <c r="Z52" i="17"/>
  <c r="AA52" i="17"/>
  <c r="Q9" i="17"/>
  <c r="P28" i="17"/>
  <c r="P31" i="17"/>
  <c r="P36" i="17"/>
  <c r="P40" i="17"/>
  <c r="P41" i="17"/>
  <c r="P42" i="17"/>
  <c r="P44" i="17"/>
  <c r="P48" i="17"/>
  <c r="P49" i="17"/>
  <c r="Q28" i="17"/>
  <c r="Q31" i="17"/>
  <c r="Q36" i="17"/>
  <c r="Q40" i="17"/>
  <c r="Q41" i="17"/>
  <c r="Q42" i="17"/>
  <c r="Q44" i="17"/>
  <c r="Q48" i="17"/>
  <c r="Q49" i="17"/>
  <c r="R28" i="17"/>
  <c r="R31" i="17"/>
  <c r="R36" i="17"/>
  <c r="R40" i="17"/>
  <c r="R41" i="17"/>
  <c r="R42" i="17"/>
  <c r="R44" i="17"/>
  <c r="R48" i="17"/>
  <c r="R49" i="17"/>
  <c r="S28" i="17"/>
  <c r="S31" i="17"/>
  <c r="S36" i="17"/>
  <c r="S40" i="17"/>
  <c r="S41" i="17"/>
  <c r="S42" i="17"/>
  <c r="S44" i="17"/>
  <c r="S48" i="17"/>
  <c r="S49" i="17"/>
  <c r="T28" i="17"/>
  <c r="T31" i="17"/>
  <c r="T36" i="17"/>
  <c r="T40" i="17"/>
  <c r="T41" i="17"/>
  <c r="T42" i="17"/>
  <c r="T44" i="17"/>
  <c r="T48" i="17"/>
  <c r="T49" i="17"/>
  <c r="U28" i="17"/>
  <c r="U31" i="17"/>
  <c r="U36" i="17"/>
  <c r="U40" i="17"/>
  <c r="U41" i="17"/>
  <c r="U42" i="17"/>
  <c r="U44" i="17"/>
  <c r="U48" i="17"/>
  <c r="U49" i="17"/>
  <c r="V28" i="17"/>
  <c r="V31" i="17"/>
  <c r="V36" i="17"/>
  <c r="V40" i="17"/>
  <c r="V41" i="17"/>
  <c r="V42" i="17"/>
  <c r="V44" i="17"/>
  <c r="V48" i="17"/>
  <c r="V49" i="17"/>
  <c r="W28" i="17"/>
  <c r="W31" i="17"/>
  <c r="W36" i="17"/>
  <c r="W40" i="17"/>
  <c r="W41" i="17"/>
  <c r="W42" i="17"/>
  <c r="W44" i="17"/>
  <c r="W48" i="17"/>
  <c r="W49" i="17"/>
  <c r="X28" i="17"/>
  <c r="X31" i="17"/>
  <c r="X36" i="17"/>
  <c r="X40" i="17"/>
  <c r="X41" i="17"/>
  <c r="X42" i="17"/>
  <c r="X44" i="17"/>
  <c r="X48" i="17"/>
  <c r="X49" i="17"/>
  <c r="Y28" i="17"/>
  <c r="Y31" i="17"/>
  <c r="Y36" i="17"/>
  <c r="Y40" i="17"/>
  <c r="Y41" i="17"/>
  <c r="Y42" i="17"/>
  <c r="Y44" i="17"/>
  <c r="Y48" i="17"/>
  <c r="Y49" i="17"/>
  <c r="Z28" i="17"/>
  <c r="Z31" i="17"/>
  <c r="Z36" i="17"/>
  <c r="Z40" i="17"/>
  <c r="Z41" i="17"/>
  <c r="Z42" i="17"/>
  <c r="Z44" i="17"/>
  <c r="Z48" i="17"/>
  <c r="Z49" i="17"/>
  <c r="AA28" i="17"/>
  <c r="AA31" i="17"/>
  <c r="AA36" i="17"/>
  <c r="AA40" i="17"/>
  <c r="AA41" i="17"/>
  <c r="AA42" i="17"/>
  <c r="AA44" i="17"/>
  <c r="AA48" i="17"/>
  <c r="AA49" i="17"/>
  <c r="P37" i="17"/>
  <c r="Q37" i="17"/>
  <c r="R37" i="17"/>
  <c r="S37" i="17"/>
  <c r="T37" i="17"/>
  <c r="U37" i="17"/>
  <c r="V37" i="17"/>
  <c r="W37" i="17"/>
  <c r="X37" i="17"/>
  <c r="Y37" i="17"/>
  <c r="Z37" i="17"/>
  <c r="AA37" i="17"/>
  <c r="P45" i="17"/>
  <c r="Q45" i="17"/>
  <c r="R45" i="17"/>
  <c r="S45" i="17"/>
  <c r="T45" i="17"/>
  <c r="U45" i="17"/>
  <c r="V45" i="17"/>
  <c r="W45" i="17"/>
  <c r="X45" i="17"/>
  <c r="Y45" i="17"/>
  <c r="Z45" i="17"/>
  <c r="AA45" i="17"/>
  <c r="C28" i="17"/>
  <c r="C31" i="17"/>
  <c r="C36" i="17"/>
  <c r="C40" i="17"/>
  <c r="C41" i="17"/>
  <c r="C42" i="17"/>
  <c r="C44" i="17"/>
  <c r="C48" i="17"/>
  <c r="C49" i="17"/>
  <c r="D28" i="17"/>
  <c r="D31" i="17"/>
  <c r="D36" i="17"/>
  <c r="D40" i="17"/>
  <c r="D41" i="17"/>
  <c r="D42" i="17"/>
  <c r="D44" i="17"/>
  <c r="D48" i="17"/>
  <c r="D49" i="17"/>
  <c r="E28" i="17"/>
  <c r="E31" i="17"/>
  <c r="E36" i="17"/>
  <c r="E40" i="17"/>
  <c r="E41" i="17"/>
  <c r="E42" i="17"/>
  <c r="E44" i="17"/>
  <c r="E48" i="17"/>
  <c r="E49" i="17"/>
  <c r="F28" i="17"/>
  <c r="F31" i="17"/>
  <c r="F36" i="17"/>
  <c r="F40" i="17"/>
  <c r="F41" i="17"/>
  <c r="F42" i="17"/>
  <c r="F44" i="17"/>
  <c r="F48" i="17"/>
  <c r="F49" i="17"/>
  <c r="G28" i="17"/>
  <c r="G31" i="17"/>
  <c r="G36" i="17"/>
  <c r="G40" i="17"/>
  <c r="G41" i="17"/>
  <c r="G42" i="17"/>
  <c r="G44" i="17"/>
  <c r="G48" i="17"/>
  <c r="G49" i="17"/>
  <c r="H28" i="17"/>
  <c r="H31" i="17"/>
  <c r="H36" i="17"/>
  <c r="H40" i="17"/>
  <c r="H41" i="17"/>
  <c r="H42" i="17"/>
  <c r="H44" i="17"/>
  <c r="H48" i="17"/>
  <c r="H49" i="17"/>
  <c r="I28" i="17"/>
  <c r="I31" i="17"/>
  <c r="I36" i="17"/>
  <c r="I40" i="17"/>
  <c r="I41" i="17"/>
  <c r="I42" i="17"/>
  <c r="I44" i="17"/>
  <c r="I48" i="17"/>
  <c r="I49" i="17"/>
  <c r="J28" i="17"/>
  <c r="J31" i="17"/>
  <c r="J36" i="17"/>
  <c r="J40" i="17"/>
  <c r="J41" i="17"/>
  <c r="J42" i="17"/>
  <c r="J44" i="17"/>
  <c r="J48" i="17"/>
  <c r="J49" i="17"/>
  <c r="K28" i="17"/>
  <c r="K31" i="17"/>
  <c r="K36" i="17"/>
  <c r="K40" i="17"/>
  <c r="K41" i="17"/>
  <c r="K42" i="17"/>
  <c r="K44" i="17"/>
  <c r="K48" i="17"/>
  <c r="K49" i="17"/>
  <c r="L28" i="17"/>
  <c r="L31" i="17"/>
  <c r="L36" i="17"/>
  <c r="L40" i="17"/>
  <c r="L41" i="17"/>
  <c r="L42" i="17"/>
  <c r="L44" i="17"/>
  <c r="L48" i="17"/>
  <c r="L49" i="17"/>
  <c r="M28" i="17"/>
  <c r="M31" i="17"/>
  <c r="M36" i="17"/>
  <c r="M40" i="17"/>
  <c r="M41" i="17"/>
  <c r="M42" i="17"/>
  <c r="M44" i="17"/>
  <c r="M48" i="17"/>
  <c r="M49" i="17"/>
  <c r="N28" i="17"/>
  <c r="N31" i="17"/>
  <c r="N36" i="17"/>
  <c r="N40" i="17"/>
  <c r="N41" i="17"/>
  <c r="N42" i="17"/>
  <c r="N44" i="17"/>
  <c r="N48" i="17"/>
  <c r="N49" i="17"/>
  <c r="O28" i="17"/>
  <c r="O31" i="17"/>
  <c r="O36" i="17"/>
  <c r="O40" i="17"/>
  <c r="O41" i="17"/>
  <c r="O42" i="17"/>
  <c r="O44" i="17"/>
  <c r="O48" i="17"/>
  <c r="O49" i="17"/>
  <c r="J12" i="17"/>
  <c r="T34" i="18"/>
  <c r="Q8" i="18"/>
  <c r="E15" i="18"/>
  <c r="I11" i="18"/>
  <c r="M7" i="18"/>
  <c r="Q5" i="18"/>
  <c r="Q10" i="18"/>
  <c r="M4" i="18"/>
  <c r="Q4" i="18"/>
  <c r="I4" i="18"/>
  <c r="E4" i="18"/>
  <c r="T7" i="18"/>
  <c r="R8" i="18"/>
  <c r="C37" i="17"/>
  <c r="D37" i="17"/>
  <c r="E37" i="17"/>
  <c r="F37" i="17"/>
  <c r="G37" i="17"/>
  <c r="H37" i="17"/>
  <c r="I37" i="17"/>
  <c r="J37" i="17"/>
  <c r="K37" i="17"/>
  <c r="L37" i="17"/>
  <c r="M37" i="17"/>
  <c r="N37" i="17"/>
  <c r="O37" i="17"/>
  <c r="J14" i="17"/>
  <c r="C45" i="17"/>
  <c r="D45" i="17"/>
  <c r="E45" i="17"/>
  <c r="F45" i="17"/>
  <c r="G45" i="17"/>
  <c r="H45" i="17"/>
  <c r="I45" i="17"/>
  <c r="J45" i="17"/>
  <c r="K45" i="17"/>
  <c r="L45" i="17"/>
  <c r="M45" i="17"/>
  <c r="N45" i="17"/>
  <c r="O45" i="17"/>
  <c r="J15" i="17"/>
  <c r="J16" i="17"/>
  <c r="K14" i="17"/>
  <c r="K15" i="17"/>
  <c r="K16" i="17"/>
  <c r="L16" i="17"/>
  <c r="K12" i="17"/>
  <c r="L12" i="17"/>
  <c r="T43" i="18"/>
  <c r="L15" i="17"/>
  <c r="C50" i="17"/>
  <c r="D50" i="17"/>
  <c r="E50" i="17"/>
  <c r="F50" i="17"/>
  <c r="G50" i="17"/>
  <c r="H50" i="17"/>
  <c r="I50" i="17"/>
  <c r="J50" i="17"/>
  <c r="K50" i="17"/>
  <c r="L50" i="17"/>
  <c r="M50" i="17"/>
  <c r="N50" i="17"/>
  <c r="O50" i="17"/>
  <c r="P50" i="17"/>
  <c r="Q50" i="17"/>
  <c r="R50" i="17"/>
  <c r="S50" i="17"/>
  <c r="T50" i="17"/>
  <c r="U50" i="17"/>
  <c r="V50" i="17"/>
  <c r="W50" i="17"/>
  <c r="X50" i="17"/>
  <c r="Y50" i="17"/>
  <c r="Z50" i="17"/>
  <c r="AA50" i="17"/>
  <c r="J13" i="17"/>
  <c r="K13" i="17"/>
  <c r="L13" i="17"/>
  <c r="L14" i="17"/>
  <c r="E25" i="18"/>
  <c r="I20" i="18"/>
  <c r="M15" i="18"/>
  <c r="B23" i="18"/>
</calcChain>
</file>

<file path=xl/comments1.xml><?xml version="1.0" encoding="utf-8"?>
<comments xmlns="http://schemas.openxmlformats.org/spreadsheetml/2006/main">
  <authors>
    <author>Eric Torkia</author>
  </authors>
  <commentList>
    <comment ref="F37" authorId="0">
      <text>
        <r>
          <rPr>
            <b/>
            <sz val="9"/>
            <color indexed="81"/>
            <rFont val="Tahoma"/>
            <family val="2"/>
          </rPr>
          <t>Assumption</t>
        </r>
        <r>
          <rPr>
            <sz val="9"/>
            <color indexed="81"/>
            <rFont val="Tahoma"/>
            <family val="2"/>
          </rPr>
          <t>: Technical Feasibility - Research Cost
  Triangular distribution
  Minimum =  $(15,000)
  Likeliest =  $(10,000)
  Maximum =  $(5,000)</t>
        </r>
      </text>
    </comment>
    <comment ref="J37" authorId="0">
      <text>
        <r>
          <rPr>
            <b/>
            <sz val="9"/>
            <color indexed="81"/>
            <rFont val="Tahoma"/>
            <family val="2"/>
          </rPr>
          <t>Assumption</t>
        </r>
        <r>
          <rPr>
            <sz val="9"/>
            <color indexed="81"/>
            <rFont val="Tahoma"/>
            <family val="2"/>
          </rPr>
          <t>: Manufacturability - Process Design Cost
  Triangular distribution
  Minimum =  $(20,000)
  Likeliest =  $(15,000)
  Maximum =  $(10,000)</t>
        </r>
      </text>
    </comment>
    <comment ref="N37" authorId="0">
      <text>
        <r>
          <rPr>
            <b/>
            <sz val="9"/>
            <color indexed="81"/>
            <rFont val="Tahoma"/>
            <family val="2"/>
          </rPr>
          <t>Assumption</t>
        </r>
        <r>
          <rPr>
            <sz val="9"/>
            <color indexed="81"/>
            <rFont val="Tahoma"/>
            <family val="2"/>
          </rPr>
          <t>: Marketability - Study Definition Cost
  Triangular distribution
  Minimum =  $(7,500)
  Likeliest =  $(5,000)
  Maximum =  $(2,500)</t>
        </r>
      </text>
    </comment>
    <comment ref="F38" authorId="0">
      <text>
        <r>
          <rPr>
            <b/>
            <sz val="9"/>
            <color indexed="81"/>
            <rFont val="Tahoma"/>
            <family val="2"/>
          </rPr>
          <t>Assumption</t>
        </r>
        <r>
          <rPr>
            <sz val="9"/>
            <color indexed="81"/>
            <rFont val="Tahoma"/>
            <family val="2"/>
          </rPr>
          <t>: Technical Feasibility - Design Cost
  Triangular distribution
  Minimum =  $(20,000)
  Likeliest =  $(15,000)
  Maximum =  $(10,000)</t>
        </r>
      </text>
    </comment>
    <comment ref="J38" authorId="0">
      <text>
        <r>
          <rPr>
            <b/>
            <sz val="9"/>
            <color indexed="81"/>
            <rFont val="Tahoma"/>
            <family val="2"/>
          </rPr>
          <t>Assumption</t>
        </r>
        <r>
          <rPr>
            <sz val="9"/>
            <color indexed="81"/>
            <rFont val="Tahoma"/>
            <family val="2"/>
          </rPr>
          <t>: Manufacturability - Testing Cost
  Triangular distribution
  Minimum =  $(25,000)
  Likeliest =  $(20,000)
  Maximum =  $(15,000)</t>
        </r>
      </text>
    </comment>
    <comment ref="N38" authorId="0">
      <text>
        <r>
          <rPr>
            <b/>
            <sz val="9"/>
            <color indexed="81"/>
            <rFont val="Tahoma"/>
            <family val="2"/>
          </rPr>
          <t>Assumption</t>
        </r>
        <r>
          <rPr>
            <sz val="9"/>
            <color indexed="81"/>
            <rFont val="Tahoma"/>
            <family val="2"/>
          </rPr>
          <t>: Marketability - Data Gathering Cost
  Triangular distribution
  Minimum =  $(15,000)
  Likeliest =  $(10,000)
  Maximum =  $(5,000)</t>
        </r>
      </text>
    </comment>
    <comment ref="F39" authorId="0">
      <text>
        <r>
          <rPr>
            <b/>
            <sz val="9"/>
            <color indexed="81"/>
            <rFont val="Tahoma"/>
            <family val="2"/>
          </rPr>
          <t>Assumption</t>
        </r>
        <r>
          <rPr>
            <sz val="9"/>
            <color indexed="81"/>
            <rFont val="Tahoma"/>
            <family val="2"/>
          </rPr>
          <t>: Technical Feasibility - Experimentation
  Triangular distribution
  Minimum =  $(20,000)
  Likeliest =  $(15,000)
  Maximum =  $(10,000)</t>
        </r>
      </text>
    </comment>
    <comment ref="J39" authorId="0">
      <text>
        <r>
          <rPr>
            <b/>
            <sz val="9"/>
            <color indexed="81"/>
            <rFont val="Tahoma"/>
            <family val="2"/>
          </rPr>
          <t>Assumption</t>
        </r>
        <r>
          <rPr>
            <sz val="9"/>
            <color indexed="81"/>
            <rFont val="Tahoma"/>
            <family val="2"/>
          </rPr>
          <t>: Manufacturability - Analysis Cost
  Triangular distribution
  Minimum =  $(15,000)
  Likeliest =  $(10,000)
  Maximum =  $(5,000)</t>
        </r>
      </text>
    </comment>
    <comment ref="N39" authorId="0">
      <text>
        <r>
          <rPr>
            <b/>
            <sz val="9"/>
            <color indexed="81"/>
            <rFont val="Tahoma"/>
            <family val="2"/>
          </rPr>
          <t>Assumption</t>
        </r>
        <r>
          <rPr>
            <sz val="9"/>
            <color indexed="81"/>
            <rFont val="Tahoma"/>
            <family val="2"/>
          </rPr>
          <t>: Marketability - Analysis Cost
  Triangular distribution
  Minimum =  $(30,000)
  Likeliest =  $(25,000)
  Maximum =  $(20,000)</t>
        </r>
      </text>
    </comment>
    <comment ref="F40" authorId="0">
      <text>
        <r>
          <rPr>
            <b/>
            <sz val="9"/>
            <color indexed="81"/>
            <rFont val="Tahoma"/>
            <family val="2"/>
          </rPr>
          <t>Assumption</t>
        </r>
        <r>
          <rPr>
            <sz val="9"/>
            <color indexed="81"/>
            <rFont val="Tahoma"/>
            <family val="2"/>
          </rPr>
          <t>: Technical Feasibility - Professional Ove
  Triangular distribution
  Minimum =  $(7,000)
  Likeliest =  $(5,000)
  Maximum =  $(3,000)</t>
        </r>
      </text>
    </comment>
    <comment ref="J40" authorId="0">
      <text>
        <r>
          <rPr>
            <b/>
            <sz val="9"/>
            <color indexed="81"/>
            <rFont val="Tahoma"/>
            <family val="2"/>
          </rPr>
          <t>Assumption</t>
        </r>
        <r>
          <rPr>
            <sz val="9"/>
            <color indexed="81"/>
            <rFont val="Tahoma"/>
            <family val="2"/>
          </rPr>
          <t>: Manufacturability - Professional Overhea
  Triangular distribution
  Minimum =  $(7,000)
  Likeliest =  $(5,000)
  Maximum =  $(3,000)</t>
        </r>
      </text>
    </comment>
    <comment ref="N40" authorId="0">
      <text>
        <r>
          <rPr>
            <b/>
            <sz val="9"/>
            <color indexed="81"/>
            <rFont val="Tahoma"/>
            <family val="2"/>
          </rPr>
          <t>Assumption</t>
        </r>
        <r>
          <rPr>
            <sz val="9"/>
            <color indexed="81"/>
            <rFont val="Tahoma"/>
            <family val="2"/>
          </rPr>
          <t>: Marketability - Professional Overhead Co
  Triangular distribution
  Minimum =  $(7,000)
  Likeliest =  $(5,000)
  Maximum =  $(3,000)</t>
        </r>
      </text>
    </comment>
    <comment ref="F46" authorId="0">
      <text>
        <r>
          <rPr>
            <b/>
            <sz val="9"/>
            <color indexed="81"/>
            <rFont val="Tahoma"/>
            <family val="2"/>
          </rPr>
          <t>Assumption</t>
        </r>
        <r>
          <rPr>
            <sz val="9"/>
            <color indexed="81"/>
            <rFont val="Tahoma"/>
            <family val="2"/>
          </rPr>
          <t>: Technical Feasibility Phase Length
  Triangular distribution
  Minimum = 1.0 (=F46)
  Likeliest = 4.0 (=F47)
  Maximum = 7.0 (=F48)</t>
        </r>
      </text>
    </comment>
    <comment ref="J46" authorId="0">
      <text>
        <r>
          <rPr>
            <b/>
            <sz val="9"/>
            <color indexed="81"/>
            <rFont val="Tahoma"/>
            <family val="2"/>
          </rPr>
          <t>Assumption</t>
        </r>
        <r>
          <rPr>
            <sz val="9"/>
            <color indexed="81"/>
            <rFont val="Tahoma"/>
            <family val="2"/>
          </rPr>
          <t>: Manufacturability Phase Length
  Triangular distribution
  Minimum = 1.0 (=J46)
  Likeliest = 2.0 (=J47)
  Maximum = 3.0 (=J48)</t>
        </r>
      </text>
    </comment>
    <comment ref="N46" authorId="0">
      <text>
        <r>
          <rPr>
            <b/>
            <sz val="9"/>
            <color indexed="81"/>
            <rFont val="Tahoma"/>
            <family val="2"/>
          </rPr>
          <t>Assumption</t>
        </r>
        <r>
          <rPr>
            <sz val="9"/>
            <color indexed="81"/>
            <rFont val="Tahoma"/>
            <family val="2"/>
          </rPr>
          <t>: Marketability Phase Length
  Triangular distribution
  Minimum = 0.5 (=N46)
  Likeliest = 1.0 (=N47)
  Maximum = 1.5 (=N48)</t>
        </r>
      </text>
    </comment>
  </commentList>
</comments>
</file>

<file path=xl/comments2.xml><?xml version="1.0" encoding="utf-8"?>
<comments xmlns="http://schemas.openxmlformats.org/spreadsheetml/2006/main">
  <authors>
    <author>Eric Torkia</author>
    <author>ewainwri</author>
  </authors>
  <commentList>
    <comment ref="C7" authorId="0">
      <text>
        <r>
          <rPr>
            <b/>
            <sz val="9"/>
            <color indexed="81"/>
            <rFont val="Tahoma"/>
            <family val="2"/>
          </rPr>
          <t>Assumption</t>
        </r>
        <r>
          <rPr>
            <sz val="9"/>
            <color indexed="81"/>
            <rFont val="Tahoma"/>
            <family val="2"/>
          </rPr>
          <t>: Position in Market
  Custom distribution</t>
        </r>
      </text>
    </comment>
    <comment ref="C8" authorId="0">
      <text>
        <r>
          <rPr>
            <b/>
            <sz val="9"/>
            <color indexed="81"/>
            <rFont val="Tahoma"/>
            <family val="2"/>
          </rPr>
          <t>Assumption</t>
        </r>
        <r>
          <rPr>
            <sz val="9"/>
            <color indexed="81"/>
            <rFont val="Tahoma"/>
            <family val="2"/>
          </rPr>
          <t>: Initial Market Size
  Normal distribution
  Mean = 50,000,000
  Std. Dev. = 5,000,000</t>
        </r>
      </text>
    </comment>
    <comment ref="C9" authorId="0">
      <text>
        <r>
          <rPr>
            <b/>
            <sz val="9"/>
            <color indexed="81"/>
            <rFont val="Tahoma"/>
            <family val="2"/>
          </rPr>
          <t>Assumption</t>
        </r>
        <r>
          <rPr>
            <sz val="9"/>
            <color indexed="81"/>
            <rFont val="Tahoma"/>
            <family val="2"/>
          </rPr>
          <t>: Cost of Capital
  Normal distribution
  Mean = 12%
  Std. Dev. = 1%</t>
        </r>
      </text>
    </comment>
    <comment ref="G10" authorId="1">
      <text>
        <r>
          <rPr>
            <sz val="10"/>
            <color indexed="81"/>
            <rFont val="Calibri"/>
            <family val="2"/>
            <scheme val="minor"/>
          </rPr>
          <t>As an alternative to optimization, you can use Crystal Ball's Decision Table tool to explore the effects of these decisions in your model.  See the Description tab for more information.</t>
        </r>
      </text>
    </comment>
    <comment ref="C13" authorId="0">
      <text>
        <r>
          <rPr>
            <b/>
            <sz val="9"/>
            <color indexed="81"/>
            <rFont val="Tahoma"/>
            <family val="2"/>
          </rPr>
          <t>Assumption</t>
        </r>
        <r>
          <rPr>
            <sz val="9"/>
            <color indexed="81"/>
            <rFont val="Tahoma"/>
            <family val="2"/>
          </rPr>
          <t>: Facilities &amp; Equip. Yr 1 (=B13)
  Triangular distribution
  Minimum = ($245,000.00) (=E13)
  Likeliest = ($200,000.00) (=F13)
  Maximum = ($160,000.00) (=G13)</t>
        </r>
      </text>
    </comment>
    <comment ref="D13" authorId="1">
      <text>
        <r>
          <rPr>
            <b/>
            <sz val="9"/>
            <color indexed="81"/>
            <rFont val="Tahoma"/>
            <family val="2"/>
          </rPr>
          <t>Decision Variable</t>
        </r>
        <r>
          <rPr>
            <sz val="9"/>
            <color indexed="81"/>
            <rFont val="Tahoma"/>
            <family val="2"/>
          </rPr>
          <t>: Facilities &amp; Equip. Yr 1 (=B13)
  Type = Discrete
  Minimum = ($245,000.00) (=E13)
  Maximum = ($160,000.00) (=G13)
  Step = $10,000.00</t>
        </r>
      </text>
    </comment>
    <comment ref="C14" authorId="0">
      <text>
        <r>
          <rPr>
            <b/>
            <sz val="9"/>
            <color indexed="81"/>
            <rFont val="Tahoma"/>
            <family val="2"/>
          </rPr>
          <t>Assumption</t>
        </r>
        <r>
          <rPr>
            <sz val="9"/>
            <color indexed="81"/>
            <rFont val="Tahoma"/>
            <family val="2"/>
          </rPr>
          <t>: Year 10 Turnaround (=B14)
  Triangular distribution
  Minimum = ($160,000.00) (=E14)
  Likeliest = ($100,000.00) (=F14)
  Maximum = ($40,000.00) (=G14)</t>
        </r>
      </text>
    </comment>
    <comment ref="D14" authorId="1">
      <text>
        <r>
          <rPr>
            <b/>
            <sz val="9"/>
            <color indexed="81"/>
            <rFont val="Tahoma"/>
            <family val="2"/>
          </rPr>
          <t>Decision Variable</t>
        </r>
        <r>
          <rPr>
            <sz val="9"/>
            <color indexed="81"/>
            <rFont val="Tahoma"/>
            <family val="2"/>
          </rPr>
          <t>: Year 10 Turnaround (=B14)
  Type = Continuous
  Minimum = ($160,000.00) (=E14)
  Maximum = ($40,000.00) (=G14)</t>
        </r>
      </text>
    </comment>
    <comment ref="C15" authorId="0">
      <text>
        <r>
          <rPr>
            <b/>
            <sz val="9"/>
            <color indexed="81"/>
            <rFont val="Tahoma"/>
            <family val="2"/>
          </rPr>
          <t>Assumption</t>
        </r>
        <r>
          <rPr>
            <sz val="9"/>
            <color indexed="81"/>
            <rFont val="Tahoma"/>
            <family val="2"/>
          </rPr>
          <t>: Unit Sell Price (=B15)
  Triangular distribution
  Minimum = $23.00 (=E15)
  Likeliest = $24.00 (=F15)
  Maximum = $32.00 (=G15)</t>
        </r>
      </text>
    </comment>
    <comment ref="D15" authorId="1">
      <text>
        <r>
          <rPr>
            <b/>
            <sz val="9"/>
            <color indexed="81"/>
            <rFont val="Tahoma"/>
            <family val="2"/>
          </rPr>
          <t>Decision Variable</t>
        </r>
        <r>
          <rPr>
            <sz val="9"/>
            <color indexed="81"/>
            <rFont val="Tahoma"/>
            <family val="2"/>
          </rPr>
          <t>: Unit Sell Price (=B15)
  Type = Continuous
  Minimum = $23.00 (=E15)
  Maximum = $32.00 (=G15)</t>
        </r>
      </text>
    </comment>
    <comment ref="C16" authorId="0">
      <text>
        <r>
          <rPr>
            <b/>
            <sz val="9"/>
            <color indexed="81"/>
            <rFont val="Tahoma"/>
            <family val="2"/>
          </rPr>
          <t>Assumption</t>
        </r>
        <r>
          <rPr>
            <sz val="9"/>
            <color indexed="81"/>
            <rFont val="Tahoma"/>
            <family val="2"/>
          </rPr>
          <t>: Estimated Product Horizon (=B16)
  BetaPERT distribution
  Minimum = 9.00 (=E16)
  Likeliest = 12.00 (=F16)
  Maximum = 25.00 (=G16)</t>
        </r>
      </text>
    </comment>
    <comment ref="D16" authorId="1">
      <text>
        <r>
          <rPr>
            <b/>
            <sz val="9"/>
            <color indexed="81"/>
            <rFont val="Tahoma"/>
            <family val="2"/>
          </rPr>
          <t>Decision Variable</t>
        </r>
        <r>
          <rPr>
            <sz val="9"/>
            <color indexed="81"/>
            <rFont val="Tahoma"/>
            <family val="2"/>
          </rPr>
          <t>: Estimated Product Horizon (=B16)
  Type = Discrete
  Minimum = 9.00 (=E16)
  Maximum = 25.00 (=G16)
  Step = 1.00</t>
        </r>
      </text>
    </comment>
    <comment ref="D34" authorId="1">
      <text>
        <r>
          <rPr>
            <b/>
            <sz val="9"/>
            <color indexed="81"/>
            <rFont val="Tahoma"/>
            <family val="2"/>
          </rPr>
          <t>Assumption</t>
        </r>
        <r>
          <rPr>
            <sz val="9"/>
            <color indexed="81"/>
            <rFont val="Tahoma"/>
            <family val="2"/>
          </rPr>
          <t>: Inflation - Year 2 (="Inflation - Year "&amp;D19)
  Lognormal distribution
  Location = 0.0%
  Mean = 2.0% (=$D$10)
  Std. Dev. = 2.0% (=$E$10)</t>
        </r>
      </text>
    </comment>
    <comment ref="E34" authorId="1">
      <text>
        <r>
          <rPr>
            <b/>
            <sz val="9"/>
            <color indexed="81"/>
            <rFont val="Tahoma"/>
            <family val="2"/>
          </rPr>
          <t>Assumption</t>
        </r>
        <r>
          <rPr>
            <sz val="9"/>
            <color indexed="81"/>
            <rFont val="Tahoma"/>
            <family val="2"/>
          </rPr>
          <t>: Inflation - Year 3 (="Inflation - Year "&amp;E19)
  Lognormal distribution
  Location = 0.0%
  Mean = 2.0% (=$D$10)
  Std. Dev. = 2.0% (=$E$10)</t>
        </r>
      </text>
    </comment>
    <comment ref="F34" authorId="1">
      <text>
        <r>
          <rPr>
            <b/>
            <sz val="9"/>
            <color indexed="81"/>
            <rFont val="Tahoma"/>
            <family val="2"/>
          </rPr>
          <t>Assumption</t>
        </r>
        <r>
          <rPr>
            <sz val="9"/>
            <color indexed="81"/>
            <rFont val="Tahoma"/>
            <family val="2"/>
          </rPr>
          <t>: Inflation - Year 4 (="Inflation - Year "&amp;F19)
  Lognormal distribution
  Location = 0.0%
  Mean = 2.0% (=$D$10)
  Std. Dev. = 2.0% (=$E$10)</t>
        </r>
      </text>
    </comment>
    <comment ref="G34" authorId="1">
      <text>
        <r>
          <rPr>
            <b/>
            <sz val="9"/>
            <color indexed="81"/>
            <rFont val="Tahoma"/>
            <family val="2"/>
          </rPr>
          <t>Assumption</t>
        </r>
        <r>
          <rPr>
            <sz val="9"/>
            <color indexed="81"/>
            <rFont val="Tahoma"/>
            <family val="2"/>
          </rPr>
          <t>: Inflation - Year 5 (="Inflation - Year "&amp;G19)
  Lognormal distribution
  Location = 0.0%
  Mean = 2.0% (=$D$10)
  Std. Dev. = 2.0% (=$E$10)</t>
        </r>
      </text>
    </comment>
    <comment ref="H34" authorId="1">
      <text>
        <r>
          <rPr>
            <b/>
            <sz val="9"/>
            <color indexed="81"/>
            <rFont val="Tahoma"/>
            <family val="2"/>
          </rPr>
          <t>Assumption</t>
        </r>
        <r>
          <rPr>
            <sz val="9"/>
            <color indexed="81"/>
            <rFont val="Tahoma"/>
            <family val="2"/>
          </rPr>
          <t>: Inflation - Year 6 (="Inflation - Year "&amp;H19)
  Lognormal distribution
  Location = 0.0%
  Mean = 2.0% (=$D$10)
  Std. Dev. = 2.0% (=$E$10)</t>
        </r>
      </text>
    </comment>
    <comment ref="I34" authorId="1">
      <text>
        <r>
          <rPr>
            <b/>
            <sz val="9"/>
            <color indexed="81"/>
            <rFont val="Tahoma"/>
            <family val="2"/>
          </rPr>
          <t>Assumption</t>
        </r>
        <r>
          <rPr>
            <sz val="9"/>
            <color indexed="81"/>
            <rFont val="Tahoma"/>
            <family val="2"/>
          </rPr>
          <t>: Inflation - Year 7 (="Inflation - Year "&amp;I19)
  Lognormal distribution
  Location = 0.0%
  Mean = 2.0% (=$D$10)
  Std. Dev. = 2.0% (=$E$10)</t>
        </r>
      </text>
    </comment>
    <comment ref="J34" authorId="1">
      <text>
        <r>
          <rPr>
            <b/>
            <sz val="9"/>
            <color indexed="81"/>
            <rFont val="Tahoma"/>
            <family val="2"/>
          </rPr>
          <t>Assumption</t>
        </r>
        <r>
          <rPr>
            <sz val="9"/>
            <color indexed="81"/>
            <rFont val="Tahoma"/>
            <family val="2"/>
          </rPr>
          <t>: Inflation - Year 8 (="Inflation - Year "&amp;J19)
  Lognormal distribution
  Location = 0.0%
  Mean = 2.0% (=$D$10)
  Std. Dev. = 2.0% (=$E$10)</t>
        </r>
      </text>
    </comment>
    <comment ref="K34" authorId="1">
      <text>
        <r>
          <rPr>
            <b/>
            <sz val="9"/>
            <color indexed="81"/>
            <rFont val="Tahoma"/>
            <family val="2"/>
          </rPr>
          <t>Assumption</t>
        </r>
        <r>
          <rPr>
            <sz val="9"/>
            <color indexed="81"/>
            <rFont val="Tahoma"/>
            <family val="2"/>
          </rPr>
          <t>: Inflation - Year 9 (="Inflation - Year "&amp;K19)
  Lognormal distribution
  Location = 0.0%
  Mean = 2.0% (=$D$10)
  Std. Dev. = 2.0% (=$E$10)</t>
        </r>
      </text>
    </comment>
    <comment ref="L34" authorId="1">
      <text>
        <r>
          <rPr>
            <b/>
            <sz val="9"/>
            <color indexed="81"/>
            <rFont val="Tahoma"/>
            <family val="2"/>
          </rPr>
          <t>Assumption</t>
        </r>
        <r>
          <rPr>
            <sz val="9"/>
            <color indexed="81"/>
            <rFont val="Tahoma"/>
            <family val="2"/>
          </rPr>
          <t>: Inflation - Year 10 (="Inflation - Year "&amp;L19)
  Lognormal distribution
  Location = 0.0%
  Mean = 2.0% (=$D$10)
  Std. Dev. = 2.0% (=$E$10)</t>
        </r>
      </text>
    </comment>
    <comment ref="M34" authorId="1">
      <text>
        <r>
          <rPr>
            <b/>
            <sz val="9"/>
            <color indexed="81"/>
            <rFont val="Tahoma"/>
            <family val="2"/>
          </rPr>
          <t>Assumption</t>
        </r>
        <r>
          <rPr>
            <sz val="9"/>
            <color indexed="81"/>
            <rFont val="Tahoma"/>
            <family val="2"/>
          </rPr>
          <t>: Inflation - Year 11 (="Inflation - Year "&amp;M19)
  Lognormal distribution
  Location = 0.0%
  Mean = 2.0% (=$D$10)
  Std. Dev. = 2.0% (=$E$10)</t>
        </r>
      </text>
    </comment>
    <comment ref="N34" authorId="1">
      <text>
        <r>
          <rPr>
            <b/>
            <sz val="9"/>
            <color indexed="81"/>
            <rFont val="Tahoma"/>
            <family val="2"/>
          </rPr>
          <t>Assumption</t>
        </r>
        <r>
          <rPr>
            <sz val="9"/>
            <color indexed="81"/>
            <rFont val="Tahoma"/>
            <family val="2"/>
          </rPr>
          <t>: Inflation - Year 12 (="Inflation - Year "&amp;N19)
  Lognormal distribution
  Location = 0.0%
  Mean = 2.0% (=$D$10)
  Std. Dev. = 2.0% (=$E$10)</t>
        </r>
      </text>
    </comment>
    <comment ref="O34" authorId="1">
      <text>
        <r>
          <rPr>
            <b/>
            <sz val="9"/>
            <color indexed="81"/>
            <rFont val="Tahoma"/>
            <family val="2"/>
          </rPr>
          <t>Assumption</t>
        </r>
        <r>
          <rPr>
            <sz val="9"/>
            <color indexed="81"/>
            <rFont val="Tahoma"/>
            <family val="2"/>
          </rPr>
          <t>: Inflation - Year 13 (="Inflation - Year "&amp;O19)
  Lognormal distribution
  Location = 0.0%
  Mean = 2.0% (=$D$10)
  Std. Dev. = 2.0% (=$E$10)</t>
        </r>
      </text>
    </comment>
    <comment ref="P34" authorId="1">
      <text>
        <r>
          <rPr>
            <b/>
            <sz val="9"/>
            <color indexed="81"/>
            <rFont val="Tahoma"/>
            <family val="2"/>
          </rPr>
          <t>Assumption</t>
        </r>
        <r>
          <rPr>
            <sz val="9"/>
            <color indexed="81"/>
            <rFont val="Tahoma"/>
            <family val="2"/>
          </rPr>
          <t>: Inflation - Year 14 (="Inflation - Year "&amp;P19)
  Lognormal distribution
  Location = 0.0%
  Mean = 2.0% (=$D$10)
  Std. Dev. = 2.0% (=$E$10)</t>
        </r>
      </text>
    </comment>
    <comment ref="Q34" authorId="1">
      <text>
        <r>
          <rPr>
            <b/>
            <sz val="9"/>
            <color indexed="81"/>
            <rFont val="Tahoma"/>
            <family val="2"/>
          </rPr>
          <t>Assumption</t>
        </r>
        <r>
          <rPr>
            <sz val="9"/>
            <color indexed="81"/>
            <rFont val="Tahoma"/>
            <family val="2"/>
          </rPr>
          <t>: Inflation - Year 15 (="Inflation - Year "&amp;Q19)
  Lognormal distribution
  Location = 0.0%
  Mean = 2.0% (=$D$10)
  Std. Dev. = 2.0% (=$E$10)</t>
        </r>
      </text>
    </comment>
    <comment ref="R34" authorId="1">
      <text>
        <r>
          <rPr>
            <b/>
            <sz val="9"/>
            <color indexed="81"/>
            <rFont val="Tahoma"/>
            <family val="2"/>
          </rPr>
          <t>Assumption</t>
        </r>
        <r>
          <rPr>
            <sz val="9"/>
            <color indexed="81"/>
            <rFont val="Tahoma"/>
            <family val="2"/>
          </rPr>
          <t>: Inflation - Year 16 (="Inflation - Year "&amp;R19)
  Lognormal distribution
  Location = 0.0%
  Mean = 2.0% (=$D$10)
  Std. Dev. = 2.0% (=$E$10)</t>
        </r>
      </text>
    </comment>
    <comment ref="S34" authorId="1">
      <text>
        <r>
          <rPr>
            <b/>
            <sz val="9"/>
            <color indexed="81"/>
            <rFont val="Tahoma"/>
            <family val="2"/>
          </rPr>
          <t>Assumption</t>
        </r>
        <r>
          <rPr>
            <sz val="9"/>
            <color indexed="81"/>
            <rFont val="Tahoma"/>
            <family val="2"/>
          </rPr>
          <t>: Inflation - Year 17 (="Inflation - Year "&amp;S19)
  Lognormal distribution
  Location = 0.0%
  Mean = 2.0% (=$D$10)
  Std. Dev. = 2.0% (=$E$10)</t>
        </r>
      </text>
    </comment>
    <comment ref="T34" authorId="1">
      <text>
        <r>
          <rPr>
            <b/>
            <sz val="9"/>
            <color indexed="81"/>
            <rFont val="Tahoma"/>
            <family val="2"/>
          </rPr>
          <t>Assumption</t>
        </r>
        <r>
          <rPr>
            <sz val="9"/>
            <color indexed="81"/>
            <rFont val="Tahoma"/>
            <family val="2"/>
          </rPr>
          <t>: Inflation - Year 18 (="Inflation - Year "&amp;T19)
  Lognormal distribution
  Location = 0.0%
  Mean = 2.0% (=$D$10)
  Std. Dev. = 2.0% (=$E$10)</t>
        </r>
      </text>
    </comment>
    <comment ref="U34" authorId="1">
      <text>
        <r>
          <rPr>
            <b/>
            <sz val="9"/>
            <color indexed="81"/>
            <rFont val="Tahoma"/>
            <family val="2"/>
          </rPr>
          <t>Assumption</t>
        </r>
        <r>
          <rPr>
            <sz val="9"/>
            <color indexed="81"/>
            <rFont val="Tahoma"/>
            <family val="2"/>
          </rPr>
          <t>: Inflation - Year 19 (="Inflation - Year "&amp;U19)
  Lognormal distribution
  Location = 0.0%
  Mean = 2.0% (=$D$10)
  Std. Dev. = 2.0% (=$E$10)</t>
        </r>
      </text>
    </comment>
    <comment ref="V34" authorId="1">
      <text>
        <r>
          <rPr>
            <b/>
            <sz val="9"/>
            <color indexed="81"/>
            <rFont val="Tahoma"/>
            <family val="2"/>
          </rPr>
          <t>Assumption</t>
        </r>
        <r>
          <rPr>
            <sz val="9"/>
            <color indexed="81"/>
            <rFont val="Tahoma"/>
            <family val="2"/>
          </rPr>
          <t>: Inflation - Year 20 (="Inflation - Year "&amp;V19)
  Lognormal distribution
  Location = 0.0%
  Mean = 2.0% (=$D$10)
  Std. Dev. = 2.0% (=$E$10)</t>
        </r>
      </text>
    </comment>
    <comment ref="W34" authorId="1">
      <text>
        <r>
          <rPr>
            <b/>
            <sz val="9"/>
            <color indexed="81"/>
            <rFont val="Tahoma"/>
            <family val="2"/>
          </rPr>
          <t>Assumption</t>
        </r>
        <r>
          <rPr>
            <sz val="9"/>
            <color indexed="81"/>
            <rFont val="Tahoma"/>
            <family val="2"/>
          </rPr>
          <t>: Inflation - Year 21 (="Inflation - Year "&amp;W19)
  Lognormal distribution
  Location = 0.0%
  Mean = 2.0% (=$D$10)
  Std. Dev. = 2.0% (=$E$10)</t>
        </r>
      </text>
    </comment>
    <comment ref="X34" authorId="1">
      <text>
        <r>
          <rPr>
            <b/>
            <sz val="9"/>
            <color indexed="81"/>
            <rFont val="Tahoma"/>
            <family val="2"/>
          </rPr>
          <t>Assumption</t>
        </r>
        <r>
          <rPr>
            <sz val="9"/>
            <color indexed="81"/>
            <rFont val="Tahoma"/>
            <family val="2"/>
          </rPr>
          <t>: Inflation - Year 22 (="Inflation - Year "&amp;X19)
  Lognormal distribution
  Location = 0.0%
  Mean = 2.0% (=$D$10)
  Std. Dev. = 2.0% (=$E$10)</t>
        </r>
      </text>
    </comment>
    <comment ref="Y34" authorId="1">
      <text>
        <r>
          <rPr>
            <b/>
            <sz val="9"/>
            <color indexed="81"/>
            <rFont val="Tahoma"/>
            <family val="2"/>
          </rPr>
          <t>Assumption</t>
        </r>
        <r>
          <rPr>
            <sz val="9"/>
            <color indexed="81"/>
            <rFont val="Tahoma"/>
            <family val="2"/>
          </rPr>
          <t>: Inflation - Year 23 (="Inflation - Year "&amp;Y19)
  Lognormal distribution
  Location = 0.0%
  Mean = 2.0% (=$D$10)
  Std. Dev. = 2.0% (=$E$10)</t>
        </r>
      </text>
    </comment>
    <comment ref="Z34" authorId="1">
      <text>
        <r>
          <rPr>
            <b/>
            <sz val="9"/>
            <color indexed="81"/>
            <rFont val="Tahoma"/>
            <family val="2"/>
          </rPr>
          <t>Assumption</t>
        </r>
        <r>
          <rPr>
            <sz val="9"/>
            <color indexed="81"/>
            <rFont val="Tahoma"/>
            <family val="2"/>
          </rPr>
          <t>: Inflation - Year 24 (="Inflation - Year "&amp;Z19)
  Lognormal distribution
  Location = 0.0%
  Mean = 2.0% (=$D$10)
  Std. Dev. = 2.0% (=$E$10)</t>
        </r>
      </text>
    </comment>
    <comment ref="AA34" authorId="1">
      <text>
        <r>
          <rPr>
            <b/>
            <sz val="9"/>
            <color indexed="81"/>
            <rFont val="Tahoma"/>
            <family val="2"/>
          </rPr>
          <t>Assumption</t>
        </r>
        <r>
          <rPr>
            <sz val="9"/>
            <color indexed="81"/>
            <rFont val="Tahoma"/>
            <family val="2"/>
          </rPr>
          <t>: Inflation - Year 25 (="Inflation - Year "&amp;AA19)
  Lognormal distribution
  Location = 0.0%
  Mean = 2.0% (=$D$10)
  Std. Dev. = 2.0% (=$E$10)</t>
        </r>
      </text>
    </comment>
  </commentList>
</comments>
</file>

<file path=xl/sharedStrings.xml><?xml version="1.0" encoding="utf-8"?>
<sst xmlns="http://schemas.openxmlformats.org/spreadsheetml/2006/main" count="272" uniqueCount="180">
  <si>
    <t>Revenue</t>
  </si>
  <si>
    <t>Net Cash Flow</t>
  </si>
  <si>
    <t>NPV</t>
  </si>
  <si>
    <t xml:space="preserve"> </t>
  </si>
  <si>
    <t>Professional Overhead</t>
  </si>
  <si>
    <t>Technically Feasible</t>
  </si>
  <si>
    <t>Technically Infeasible</t>
  </si>
  <si>
    <t>Unmanufacturable</t>
  </si>
  <si>
    <t>Marketable</t>
  </si>
  <si>
    <t>Unmarketable</t>
  </si>
  <si>
    <t>Terminate</t>
  </si>
  <si>
    <t>Continue</t>
  </si>
  <si>
    <t>End of Year</t>
  </si>
  <si>
    <t>Production</t>
  </si>
  <si>
    <t>Operating Costs</t>
  </si>
  <si>
    <t>Cash Flow</t>
  </si>
  <si>
    <t>Technical Feasibility</t>
  </si>
  <si>
    <t>Research</t>
  </si>
  <si>
    <t>Design</t>
  </si>
  <si>
    <t>Experimentation</t>
  </si>
  <si>
    <t>Associated NPV</t>
  </si>
  <si>
    <t>Study Definition</t>
  </si>
  <si>
    <t>Data Gathering</t>
  </si>
  <si>
    <t>Analysis</t>
  </si>
  <si>
    <t>Testing</t>
  </si>
  <si>
    <t>Process Design</t>
  </si>
  <si>
    <t>Minimum</t>
  </si>
  <si>
    <t>Likeliest</t>
  </si>
  <si>
    <t>Maximum</t>
  </si>
  <si>
    <t>Triangular Distribution</t>
  </si>
  <si>
    <t>Project Begins at End of Year</t>
  </si>
  <si>
    <t>Discounted</t>
  </si>
  <si>
    <t>Costs Incurred at End of Year</t>
  </si>
  <si>
    <t>Expected</t>
  </si>
  <si>
    <t>Current Year</t>
  </si>
  <si>
    <t>First Production Year</t>
  </si>
  <si>
    <t>Estimated Product Horizon</t>
  </si>
  <si>
    <t>Position in Market</t>
  </si>
  <si>
    <t>Initial Market Size</t>
  </si>
  <si>
    <t>Cost of Capital</t>
  </si>
  <si>
    <t>Production Year</t>
  </si>
  <si>
    <t>Market Share</t>
  </si>
  <si>
    <t>Comes out First</t>
  </si>
  <si>
    <t>Comes out Second</t>
  </si>
  <si>
    <t>Comes out Third</t>
  </si>
  <si>
    <t>Market Growth Rate</t>
  </si>
  <si>
    <t>Market Size</t>
  </si>
  <si>
    <t>Units per Year</t>
  </si>
  <si>
    <t>Sales</t>
  </si>
  <si>
    <t>Discounted at COC</t>
  </si>
  <si>
    <t>Manufacturing and Distribution</t>
  </si>
  <si>
    <t>Sales and Marketing Expenses</t>
  </si>
  <si>
    <t>General and Administrative Exp.</t>
  </si>
  <si>
    <t>Ongoing R&amp;D</t>
  </si>
  <si>
    <t>Working Capital</t>
  </si>
  <si>
    <t>Cumulative Cash Flow</t>
  </si>
  <si>
    <t>PWNCF</t>
  </si>
  <si>
    <t>Expected Return</t>
  </si>
  <si>
    <t>Expected Cost</t>
  </si>
  <si>
    <t>Pearson Index</t>
  </si>
  <si>
    <t>Development Expenses</t>
  </si>
  <si>
    <t>Timeline</t>
  </si>
  <si>
    <t>Process Length</t>
  </si>
  <si>
    <t>Phase Length</t>
  </si>
  <si>
    <t>Transition</t>
  </si>
  <si>
    <t>Phase Transition Probability</t>
  </si>
  <si>
    <t>Development Success</t>
  </si>
  <si>
    <t xml:space="preserve">  </t>
  </si>
  <si>
    <t>Manufacturable</t>
  </si>
  <si>
    <t>Years Required</t>
  </si>
  <si>
    <t>Discussion</t>
  </si>
  <si>
    <t>Using Crystal Ball</t>
  </si>
  <si>
    <t>Crystal Ball enhances your Excel model by allowing you to create probability distributions (referred to in Crystal Ball as "assumptions") that describe uncertain parameters.  Each assumption cell is colored green and is marked by an Excel note (mouse over the cell to view the note). To view the details of an assumption, highlight the cell and either select Define Assumption from the Define menu or click on the Define Assumption button on the Crystal Ball toolbar.</t>
  </si>
  <si>
    <t>In this model the costs for each phase, the phase lengths, the phase transition probabilities, the product horizon, inital market position, initial market size, revenue per unit, and cost of capital are defined as assumptions. The phase transition probabilities are defined as Crystal Ball functions, which allow you to use the distributions within a formula in the same cell.</t>
  </si>
  <si>
    <t>When you run a simulation, Crystal Ball generates a random number for each assumption (based on how the assumption has been defined) and places that new value in the cell. Excel then recalculates the model. You can test this by selecting Single Step from the Run menu or clicking on the Single Step button on the toolbar.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</si>
  <si>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</si>
  <si>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</si>
  <si>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</si>
  <si>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</si>
  <si>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</si>
  <si>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</si>
  <si>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</si>
  <si>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</si>
  <si>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</si>
  <si>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</si>
  <si>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</si>
  <si>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</si>
  <si>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bba8dec1-cc95-4dfd-8a6a-402ad149e387</t>
  </si>
  <si>
    <t>CB_Block_0</t>
  </si>
  <si>
    <t>Decisioneering:7.0.0.0</t>
  </si>
  <si>
    <t>CB_Block_7.0.0.0:1</t>
  </si>
  <si>
    <t>f6109e2f-d06c-42ab-a90b-0dcfd4cfe1e7</t>
  </si>
  <si>
    <t>035d7791-db47-4fcf-8935-affcc99d14f0</t>
  </si>
  <si>
    <r>
      <t>Summary</t>
    </r>
    <r>
      <rPr>
        <sz val="11"/>
        <rFont val="Calibri"/>
        <family val="2"/>
        <scheme val="minor"/>
      </rPr>
      <t xml:space="preserve">
As businesses evaluate the development of new products, they must consider several different types of risks.  This model is set up for a product that has three specific types of risks:  technical feasibility, manufacturing capability, and marketability.  </t>
    </r>
  </si>
  <si>
    <r>
      <t>Keywords:</t>
    </r>
    <r>
      <rPr>
        <sz val="11"/>
        <rFont val="Calibri"/>
        <family val="2"/>
        <scheme val="minor"/>
      </rPr>
      <t xml:space="preserve"> new product, risk, feasibility, simulation, Crystal Ball functions, decision tree</t>
    </r>
  </si>
  <si>
    <t>Learn about model</t>
  </si>
  <si>
    <r>
      <t>Copyright Information</t>
    </r>
    <r>
      <rPr>
        <sz val="11"/>
        <rFont val="Calibri"/>
        <family val="2"/>
        <scheme val="minor"/>
      </rPr>
      <t xml:space="preserve">
Copyright © 2008, 2015 Oracle and/or its affiliates. All rights reserved.
Oracle is a registered trademark of Oracle Corporation and/or its affiliates. Other names
may be trademarks of their respective owners.
</t>
    </r>
  </si>
  <si>
    <t>Feasibility</t>
  </si>
  <si>
    <t>Technical</t>
  </si>
  <si>
    <t>Manufacturing</t>
  </si>
  <si>
    <t>Marketing</t>
  </si>
  <si>
    <t>Initial Market Share Estimate</t>
  </si>
  <si>
    <t>Prob of Success</t>
  </si>
  <si>
    <t>Min</t>
  </si>
  <si>
    <t>ML</t>
  </si>
  <si>
    <t>Max</t>
  </si>
  <si>
    <t>Mean</t>
  </si>
  <si>
    <t>Std. Dev</t>
  </si>
  <si>
    <t>Ý</t>
  </si>
  <si>
    <t>Manufacturing Phase</t>
  </si>
  <si>
    <t>Marketing Phase</t>
  </si>
  <si>
    <t>Success</t>
  </si>
  <si>
    <t>Cost of Failure</t>
  </si>
  <si>
    <t>Project Begins at EOY</t>
  </si>
  <si>
    <t>Scenario Analysis</t>
  </si>
  <si>
    <t>Decision Metrics</t>
  </si>
  <si>
    <t>Expanded NPV</t>
  </si>
  <si>
    <t>Facilities &amp; Equip. Yr 1</t>
  </si>
  <si>
    <t>Year 10 Turnaround</t>
  </si>
  <si>
    <t>Sim</t>
  </si>
  <si>
    <t>Decision</t>
  </si>
  <si>
    <t>Unit Sell Price</t>
  </si>
  <si>
    <t>Decisions</t>
  </si>
  <si>
    <t>Share factor</t>
  </si>
  <si>
    <t>Price range per level</t>
  </si>
  <si>
    <t>Market Pos.</t>
  </si>
  <si>
    <t>Probability</t>
  </si>
  <si>
    <t>Category</t>
  </si>
  <si>
    <t>Market Share Adj.</t>
  </si>
  <si>
    <t>Market Share vs. Pricing Assumptions</t>
  </si>
  <si>
    <t>Market Leadership Prob.</t>
  </si>
  <si>
    <t>Total</t>
  </si>
  <si>
    <t>10yr</t>
  </si>
  <si>
    <t>Diff.</t>
  </si>
  <si>
    <t>Timing &amp; Economic Assumptions</t>
  </si>
  <si>
    <t>Annual Inflation</t>
  </si>
  <si>
    <t>Sales Price Estimate</t>
  </si>
  <si>
    <t>View Yrs 11 - 25 + Other Assumptions</t>
  </si>
  <si>
    <t>NPV (Conventional)</t>
  </si>
  <si>
    <t>StartOptEquations</t>
  </si>
  <si>
    <t>Decisioneering:7.4.0.0</t>
  </si>
  <si>
    <t>Product Launch - Decision Tree Analysis</t>
  </si>
  <si>
    <r>
      <rPr>
        <b/>
        <sz val="11"/>
        <color theme="9" tint="-0.249977111117893"/>
        <rFont val="Calibri"/>
        <family val="2"/>
      </rPr>
      <t>←</t>
    </r>
    <r>
      <rPr>
        <b/>
        <sz val="11"/>
        <color theme="9" tint="-0.249977111117893"/>
        <rFont val="Calibri"/>
        <family val="2"/>
        <scheme val="minor"/>
      </rPr>
      <t xml:space="preserve"> </t>
    </r>
    <r>
      <rPr>
        <b/>
        <sz val="11"/>
        <color theme="1" tint="0.34998626667073579"/>
        <rFont val="Calibri"/>
        <family val="2"/>
        <scheme val="minor"/>
      </rPr>
      <t>View details</t>
    </r>
  </si>
  <si>
    <r>
      <rPr>
        <b/>
        <sz val="11"/>
        <color theme="9" tint="-0.249977111117893"/>
        <rFont val="Calibri"/>
        <family val="2"/>
      </rPr>
      <t>←</t>
    </r>
    <r>
      <rPr>
        <b/>
        <sz val="11"/>
        <color theme="9" tint="-0.249977111117893"/>
        <rFont val="Calibri"/>
        <family val="2"/>
        <scheme val="minor"/>
      </rPr>
      <t xml:space="preserve"> </t>
    </r>
    <r>
      <rPr>
        <b/>
        <sz val="11"/>
        <color theme="1" tint="0.34998626667073579"/>
        <rFont val="Calibri"/>
        <family val="2"/>
        <scheme val="minor"/>
      </rPr>
      <t>View</t>
    </r>
  </si>
  <si>
    <t>Discounted Cashflow</t>
  </si>
  <si>
    <t>CB_Block_7.0.0.0:2</t>
  </si>
  <si>
    <t>Back to Decision Tree</t>
  </si>
  <si>
    <t>Product Launch - 25 Year DCF Valuation</t>
  </si>
  <si>
    <t>Product Launch</t>
  </si>
  <si>
    <t>The second tab, Discounted Cashflow, is used to forecast the financial impact of proceeding with a project.  Uncertainties, or areas of risk, include Estimated Product Horizon, Position in Market, Initial Market Size, Estimated Revenue per Unit, and Cost of Capital. You can change the product start and current year to reflect delays in production, and this will have implications as to the costs and phases of the other  worksheet. Notice also, that by changing the value in the Estimated Product Horizon, you can extend or shrink the number of production years in the table at the center of this worksheet.</t>
  </si>
  <si>
    <t xml:space="preserve">This model was built for a business that has the opportunity to pursue development of a specific product.  The first tab, Decision Tree Analysis, is used to calculate the value of the project, taking into account the risk in all of the three phases: technical feasibility, manufacturing capability, and marketability.   The upper half of this tab is designed as a decision tree to show the costs at each phase and the possible outcomes of the project: whether it is technically infeasible, unmanufacturable, unmarketable, or a developmental success. </t>
  </si>
  <si>
    <t>The tables of values below the decision tree phases information on the cost of completing that part of product development as well as the likelihood of success in that phase.  Variables in the Cash Flow section all contain uncertainty as do the Phase Length and Phase Transition Probability. In the latter two sections, the Minimum, Likeliest and Maximum parameters for each triangular distribution are shown in gray. When you run a simulation, this tree view and the table and the table of values below will change with each simulation trial.</t>
  </si>
  <si>
    <t>This model uses the Precision Control feature, which is defined in the forecast dialog and turned on in the Run Preferences. If you set the number of trials to a large number (e.g., 20,000), Precision Control will run as many simulation trials as necessary until it achieves the desired level of precision (e.g., 95% confidence that the forecast is within +/- 2% or 3% of the estimated mean). Precision Control ensures that you have run enough trials for accurate simulation results.</t>
  </si>
  <si>
    <t>After you run a simulation, you will see three forecast charts, two for the conventional discounted cashflows NPVs, and one for the expanded NPV (which includes the optionality of the decision tree). What is the mean value of the expanded NPV? (Hint: use Ctrl-Spacebar to step through the Statistics and Percentiles views). You can also use Ctrl-M to cycle between the base case, median, and mean values.  What is the certainty of having a positive NPV?  (Hint: type 0 in the box on the lower left of the forecast chart and press enter.) Use the Sensitivity chart to see which assumptions have the greatest impact on the Stochastic NPV? (Hint: on the forecast chart, choose Forecast &gt; Open Sensitivity Chart.) What are the critical factors in this product launch? If you change the Estimated Product Horizon, Product Start, and Current Year, and then run a new simulation, do your results change?</t>
  </si>
  <si>
    <t>Using OptQuest</t>
  </si>
  <si>
    <t>As OptQuest runs, it uses multiple metaheuristic methods and techniques to analyze past results and improve the quality and speed of its process. You can watch OptQuest's progress through the performance graph, which shows a flattened line as it converges to an optimal result.</t>
  </si>
  <si>
    <t>CB_Block_7.4.0.0:2</t>
  </si>
  <si>
    <t>If you have OptQuest, you can use optimization to determine the optimal set of control factors to maximize expanded NPV while minimizing risk.  OptQuest calls these control factors "decision variables", which are  variables over which you have control.  When you click on the "Optimize" radio button on the DCF tab, the four assumptions in the Decisions table are converted to decision variables. Each decision variable is colored yellow and is marked by an Excel note (mouse over the cell to view the note). To view the details of a decision variable, highlight the cell and either select Define Decision from Crystal Ball ribbon.</t>
  </si>
  <si>
    <t>What is the best combination of decision variables that results in the highest mean expanded NPV? Once OptQuest is finished, you can copy the optimal results back to your spreadsheet through the Copy Best Solution to Spreadsheet option in the Edit menu. Your spreadsheet now displays the optimal solution, and Crystal Ball displays the forecast chart for the simulation from the best optimization. You can use OptQuest's Solution Analysis view to review the other quantities of products that resulted in high expanded NPV values.</t>
  </si>
  <si>
    <r>
      <t>Author</t>
    </r>
    <r>
      <rPr>
        <sz val="11"/>
        <rFont val="Calibri"/>
        <family val="2"/>
        <scheme val="minor"/>
      </rPr>
      <t xml:space="preserve">
Crystal Ball Team in collaboration with Eric Torkia, MASc, Technology Partnerz Ltd</t>
    </r>
  </si>
  <si>
    <t>Average Annual Inflation</t>
  </si>
  <si>
    <r>
      <t xml:space="preserve">Model Options </t>
    </r>
    <r>
      <rPr>
        <b/>
        <vertAlign val="superscript"/>
        <sz val="11"/>
        <color theme="0" tint="-0.499984740745262"/>
        <rFont val="Calibri"/>
        <family val="2"/>
        <scheme val="minor"/>
      </rPr>
      <t>*</t>
    </r>
  </si>
  <si>
    <t>Using the Decision Table tool</t>
  </si>
  <si>
    <t>As an alternative to optimization, you can use Crystal Ball's Decision Table tool to explore the effects of decision variables in your model.  From the Crystal Ball ribbon, click More Tools, and then Decision Table.  The tool runs multiple simulations to test different values for one or two decision variables. The results are put in a table that you can analyze using Crystal Ball forecast, trend, or overlay charts.</t>
  </si>
  <si>
    <t>On the tool's Target Forecast tab, choose the NPV (conventional) - Total forecast.  On the next tab, choose a decision variable to test, in this case Unit Sell Price.  On the final tab, choose 10 values to test and 500 trials per simulation (shorter simulations are fine for rough comparisons).  This option will test the minimum and maximum of Unit Sell Price, plus eight additional values spaced evenly between these endpoints.</t>
  </si>
  <si>
    <t>Run the tool and examine the output.  A row of forecasts is created on a temporary output sheet.  Select this row and click the Trend Chart button.  You will notice two spikes of uncertainty, related to unit prices of $26 and $29, respectively.  You may wish to analyze the model further to determine the source of these spikes.</t>
  </si>
  <si>
    <t xml:space="preserve">* Controls whether to simulate or </t>
  </si>
  <si>
    <t>optimize the variables (using OptQuest) in</t>
  </si>
  <si>
    <t>the Decisions table to the left.</t>
  </si>
  <si>
    <t>This model also includes Crystal Ball forecasts. Forecasts are equations, or outputs, that you want to analyze after a simulation. During a simulation, Crystal Ball saves the values in the forecast cells and displays them in a forecast chart, which is a histogram of the simulated values. To create a forecast with Crystal Ball, highlight the cell and  select Define Forecast on the Crystal Ball ribbon.</t>
  </si>
  <si>
    <t>㜸〱敤㕣㕤㙣ㅣ搷㜵摥ㄹ敥㉥㜷㤶㕣㜱㉤捡戲攵㌸づㄳ摢戱ㄲちㅢ搱戶ㅡ扢㠱㈲昳㐷㝦㌱㈵搱㈲㈵挵戱㤳搵㜰㜷㠶ㅣ㙢㘷㤶㥡ㄹ㔲愲攳搶㑥㥡戴㑤搳昶挱攸㥦ㅢ〷㑤㕤ㄴ㜰㔱㈰㐵㕢搴愹搳攴愱㐰㠰ㄶ㠵㔳昴㈱㈸㔰愰〵摣愰㘸ㅦㅡㄴ〲晡㤲㠷〰改昷㥤㍢戳㍢扢换ㅤ搲㙢扢愵ぢ㡥捤戳㜷捥扤㜷收摥㝢㝥敦㌹㜷㤴搱㌲㤹捣㑦㜱昱㤷㔷㤶㠵扢ㄷ㌷㠳搰㜲㉢戳捤㐶挳慡㠵㑥搳ぢ㉡搳扥㙦㙥捥㍢㐱㌸㠴〶昹慡㠳晡㈰㔷つ㥣㘷慤㐲㜵挳昲〳㌴捡㘵㌲㠵㠲愱愳㥥て攱㕦㌹扥㌱搸㙢㌴ぢ戰㌴㍢㜳㘱昹ㄹ㍣㜵㌱㙣晡搶㤱㠹换慡敦昱愹愹捡㔴攵愱㐷ㅦ㝤愴㜲昴挸挴散㝡㈳㕣昷慤攳㥥戵ㅥ晡㘶攳挸挴挲晡㜲挳愹㍤㙥㙤㉥㌵慦㔹摥㜱㙢昹攸㐳换收挳㡦㑣㍤㝣散㤸㡤㍥愳㜸㜵收晣散捣㠲㙦搹挱㍢昴捣ㅣ㠷晣昰㥣㔵㜳㌸㌷换昲ㅤ㙦愵㌲㍢㠳晦ㄳ攳挷摤挷㉢㡢慢㤶ㄵ昲搵㤶㙦㜹㌵㉢㌰搰㜱挴㥤づ㠲㜵㜷㡤㡢㘷戸愷㌰搵㥡ㄹ㠴㌹㜷搶㙡㌴っ㌷㝥㙡挱扤㠰戵㙢㤸㥢愳敥愲攵〵㑥攸㙣㌸攱㘶摥㕤挲㠳敡㈵昷㔲㘰㕤㌴扤ㄵ敢扣改㕡㌹昷昴扡㔳捦慡㉢㌳昴㐰晣㠸攴挰㘴晡㤵改挰㥤㕤㌵㝤ㄹ㔱挰㠵㐹㘹㝢捡慦㜵戶扤户晦㜳㌹㜴㜹〳㥦㜹㝦晦㜶愸戹㙣晡慤㤶㤳晤㕢㐶㤳敦ㅣ挱挷晡户㑦慣㔱㘷㥦㡦昴敦㈳㑢搹搹㕡ㅢ㠹昸㕢㔶ㄴ㤳㌱昲〴挳〴〵〲ㄲ搰㈸ㄲ㡣㄰㡣〲㘸搹晦㠶㤴㈴㍢戲㑡慦㥡㝡㜵㔹慦搶昴㙡㕤慦㕡㝡搵搶慢㉢㝡㜵㔵慦㍡㝡昵ㄹ扤㝡つ㙤攲慢㌰㍣慣㐷搷慢㡦摥㝤戴昴愳㔷㑦晥昱昷㕥㝢攰搵挳搶㍦㡦敥㐳愳㈷愲㐱捤昹收つ戰㕡㥢㡢ㅦ慣ㅣ攵㝦摢㑢〵㠴挲㍥㘶㝦摣㥥㥡慡ㅦ㍢㙡㍥㘴收㌸慤ㄴ攲㜷㌰㑡ㄹ㙤㐷敤㉢㡥㔷㙦摥㄰摡摤㍤㘳〶㔶㝢攱㈶愳扡㤹收扡㔷て摥户㜵攵㘲㘸㠶搶㕤摤㜵敤㠷昴㜴㕢㠴㔸㔹㠱扣敦㥥敥㙥㤷捤挶扡㌵㝤搳㔱搵敦敦慡㜶ㄷ晣收㜲晦摡㔳扥㜵扤㔵摢㌳愲㘹㈸戵つ㜹㜶捦㉣㔵㤵ㅡ搷挴散㙡㌳戰㍣ㄹ摥愴扢攰搴慥㔹晥愲㐵㤵㘸搵㘵慡户戳㉡㤲晡挹ぢㅥ㈶ち㘹慤㝦㈸㠹戵㑦摥っ㈱捣㔶ㅤ攳㕤戳晣㜰㜳挹㕣㙥㔸〷㍢㥡愸㜷愲攲㔰〷晡㔴戳戶ㅥ捣㌶扤搰㙦㌶㍡㙢愶敢ㅢ㈶㌴㑤晤㕣戳㙥㘵戳ㄹ㔱ち㔰戸㐳㐳㥡㤶昹㘸㝦㔹㄰㐲㈴㐸㑣㐱扥戳㤳敤㉡ㄷ㌱㍢捣愲㘱㤱㈷昵晢戶㜹ㄸ挷㉢㍡㈶㐵〲ㄳ㜳愲晤攰㑢て㙦昳搸ㄶ攵摥摤挶扡㍥ㅥ捤晥攴㠶攵㠵㘷㑣慦摥戰晣㔴敢愷㜱㐴挶ㄸ㐰敥ㄶㄴ㐲摦搵愳愹搳㙥㙡㥢戹ㅢ㑥㍤㕣捤慦㕡捥捡㙡〸ㅣ㉣㘴愱挰愵敤戹㡣摢㠰㌲昶ㄳ㡣〳ㄴ㡢㤹晣〱㌶捡ㄷ㜱㘵㜲搴㑥㈹戲摣愱挸搹慦㐳㤶㐷敤㔳㑥㈳戴㤴㔲ㅥ戳㐱ㄱ㘵搵㠴㝣㈵戲愸㙦搶㤴挱㌸㘰捦㠲㑢㑤挷ぢ㌷摢㜲摢㈳㈵㡡㠹昶㜴挱慥搳〵㔴〵㥤晡㈰㐵搶挰㌴㕤摡㈰扤㜱㠲㠹㈸〶㈹㤶ㅤ㑦敥㘴㌲戶㑦搱ㄱ㘸㥦㘴㐲戶㍥摡㕦㐷㤰搹㝢㤹㤴㥤晡捡攳㥥㌶摢捡㤷㔷摡散㜶㉣㥣㜱㤰攰づ㠲㍢〹づ〱㘸晦づつ㐷㉤㠷㜲攷㘵扣て昷挶摤〴敦〷㠰㝥㌲愸㜳㈲㔵㐵ㅦ㙡㈷㝥㈴摢㤵攰㈷㡢㔳慣㔴ㄱ㍤攳㤶㥦㔹㜲㠵搰㤱搷戹㍢㙣㙤㔶㙣散㠷晢昳㘶㜲㍡攴挸㤴愶挹戹㙥搳㌴戹㄰㙣㍡愰摤晡〰扡ㅡㄳ〴ㅦ〴㔰㠶㠵捥敥捥扣㜹扡㤳敦〹㤷㐸㌹㐲〳ㅡ昷㠸㠹改晥愷㈸戸㥥慤换㥥晦㑣㔷㜰搲㝥捦晢捦㐷晡换㜶㐴昴㉥㥢戹㘷㜳ㄸ㉢㝡㡢ㅥ昴㠷㈰㕥摡扦昴戵㉦昷愱摡戸㥦攰挳〰㕤昶㠵㍢敦户ㅡ㈵㄰㤷搸㑤㔰㙥㍦㈳㉥攲攱㉥㙤慥㔹㘲㝤㐶敤㈵搳㕦戱㐲㐴㉦捥捥挱て㙥晡扥搵挰㠶戶㉥〸敥㕤敥攸㐴〶愷晣愶㑢晣㥥㝦ㅣ扣㈷っ㐳㌶慢て㘵扡晣攳ㄴ㍦㌳ㄱ㙦㑡㜰づ敤敦㐳晤㤵㐴愲㔳㈷㝢戱㕦晡摥㜲㑦㤳っ愰㐹づ㘳㔹㡤㡦〰㐰㑢㘸晦搸㔷愳㑣戲搹ㄱ㘹搶改慤㌲扡㤷戲㌳改㡡ㅦ昶攸㤱ㄱㄵ慣㥤㐱散㈰㈸戹㡢㡥摢㔲ㄶ㈳敥㠲攵搷㄰㔷㜰ㅡ㔶㔱㠵㘴愹㙡昶㜴挵㝢㐴㔷っつ昵散愵㔳㘲㙢挲㈷㕤㕡㈲㔵摡㔳㉢㔳昶攱㙤愶㘲〸㤲㑡㈵㈵㉣搴搲㐰攴㍣戶摤㔳㌱〳愸㤸ちㄶ捥昸ㄸ挱㔱㠲㈹㠰摣摦㐳搳散㜴攱㤹ちㅢ摥㘰㌸扢㕡捤ㄴ㐸〶〹て㝥扦慦戲㝡㤸慦㌹㐶昰㌳〰㕤敥て㠳㡦㈹㡣㈸㈴㑦㌰㈲扤㈵挳扥散㔸㌷挸〳晢㙣㈴㤵㘶搷㠳戰改㌲慢㔴戲攷㥡攷㥢攱㥣ㄳ慣㈱ぢ㌵㙥㐷㠵㉢慢㤶〷敥昲攱晢㜴攱㥡㙢㙢㔶摤戰ㄷ㥢敢㔰㙤㘷攷㜶挳愶ㅣ昳㠳㉦㈹晢㜲㕤挳㌵搸摥ㄸ㡦搰㘴㐷㡣㔸㉢㈳戱㍢㡡㝣㜳搳㌷搶㕥搱㈵㈷㙣㔸㈳戶ㄲ㍡㤶ぢ㌶㔶ㄱ㔹㠳晡戰扤戴敡㕢搶㕣挹㍥敤㍢昵㠶攳㔹㈴〶㝣㑣㈶敡收慤ㄵ㘴〸ㄶ㥡捣晦㌵扤㤲扤攴㥢㕥戰㘶㌲㤹戸戹扦攳㑥㔲㈲㌹㝢挶昱〲扣㐶愸挸昲㤸扤戸摡扣㠱㙣敤扡敢㥤㌶搷㠲㕤㐱ㄵ㌲扤扡㠴㌴㥡慥改扡㔶搰ぢ㠳搲㠷ㅢ昲㑣收㐱晣㘵〹㠴㔶㤹ㅣ攳攵㈹搶㥢㝥㝤㤴㥦愱㥦捥㌱㡤㈲㜳搴㐲づ愵㙡㘱㑡慡昱〸晢㍣ち昰愹搳㤷捥戶戳㜲㙦㉢㕦㥤㘳㠴㍦㐵挷ぢ㕢戴㤲㈰㡣捦敤㔳慣㐲ㅣ㌹〷ㄲ〸㡡昳慥㥢晤㡡戶戴㈱昷敤㙢ㄷ㑦㈱㡢㌴㙡捦㥢换㔶〳戹㘸搷っ昷愹ㅢ扡戱慥搹〸愲扡搹愶敢㥡㘴㉤戲攵㘲捤㈴〷㑦慦㠷捤㜳㡥㘷搸〰挲㝦ㄱ捡扣〹㤴㜹㔳㔰愳昶㐵愶〵愵捣㘷㌵㔷㑣摦〹㔷㕤愷㔶攰つ㔳㜷扢㠲㈷㈱攴搴扣昱ㄵ敢㡣㠹㉥㙦晥ㄲ㕣戶愰〲㜲㔷愰㐷戹㜴㈴㍦㌸㔷搷昲昸㑦ㅢ㌰戰〴〵㈳㔱㔲攳ㄳ㜸㕡㑥㑥㐶㐰攵挸㜵㉢㍥㝦㜱敢㜹㘰㔴㕣㡥㔴㑦㘱ㄱ㐴〴ㄳ㑡㥥攱敤扣㝤挹㜳㐲㔰㡦ㄴ㍢攵㠴㜳〱㐸づ㠰愲㙣㙦敦ㄲ慡㈶㍡㑤戶慣挲〷㝡慢㍡捣挴㍤扤昵㐹扢㜱摦ㄶ搵捡愲㈴っ挹㜶㡤挴戲㙣㌱挶摤㘴㙡㌴㌱摣戱戵搱搲挲愶敤㜵愷ㄶ㜹ㅢ㠶㐹㜸㈶㘳ㅣㄷ㐶㐱㤲㤷摣〱ㅢ挵㜸㝤㍡㝢㈴戲㌵昴〱㡡戴㔳ち㔷㡡搲㠱㘷㜱攴愴㙥ㄵ愳㍢挸昷扥愸㜸㘱㍤散愸㌱㙦㡥㐷㌵搳㡤挶〵て㕥㐲捤昴敢扢㐴愴㌱㌷㘵㘱㐴㍡〷戵晥㙡㜹ㄳ㠲ㄸ㠹㈱㔳㈲㈹㜱㘰㠸㈱㠴㉢㤱㑤愵㜷㔶攲㔲户搰〵摥㥤戳㑣㑦㈸戰ㄸ搶攷慣つ㜱挳摡㥥晣戸㜴㘸敤ㄶ㐵㡦ㅡ昶昴㜲〰㤳ㅥ㔲㡦㐷㈵ㄱ㜰挳扥挸戰ㄴづ㌰㐰敤㐶愵㠵㕡㠸戴㙥敢〱摣ㄹ散ㅥ敡㘰㐵㔴摡㠴摥ㄹ㌵㘸㍥㠵㜱㍢㈷㐱搹ㄹ㤰愲㔰愴戶㕣晦㜵㐲晢摤㤷㜸晤搱㠹㑣㕣㠸㠴㠸愹慥ㄴ敦〱挴㑤㘶㈵㈹㐵攳㜱戲㕣㘹㌶㔱㕡愳㌱㡥㉥㐶㠹㉥㥦ㅦ攲〴て昳㔸㘳ㄴ㥢〶捥戸㠵づ慣㘹㘳㜳㥦㝤搶慢㌵搶敢㤶㤸攲㔸㔷㡢㐵摥ㄵ昴㤲攳㝦㑡㥡㔲搶㈵㕡㤴戳搸㑡㜱捡㈴搲攰㝥户昱㐹㜴ㄷ㈵㠷㘷㈸摤挶攴㘳㑡㔸㑥㤲㘱㍤㘷ㄴ攸ㅦ敥㙦ㅦ㕥㤰㠳㜳㔰㘹㍤㈸敡戲㜹㥣挵㙢㘵㤰㐵摡ㄲ捤收㥢昳㑤晡散〹搴ㄹ㐷愱㜶〵㡤㌰㑦愵昰昲㜹㌸㈳〳㑡〷ㅦ㤲戹ㄵ㘵㜶㙦㍤㉦户㤹㕢㈷㈲攷㐳㘳㝥㤷扢愰っ㔶ㄵ㠲㐴㠷㕢㙦㝢摤ㅡ㌳扦昴扣㡤挷〰㌴愶㠰改搰愲愵㜲㜰㘶㔰摥摥挱㘱㌲㌲㈵㍢㥡㑣愴㌲㐷㌹㡥㠰㍤㠸〶㘹攲㐶㝡愹〹㈳ㄴㅥ㤰㐳㘱昱戹挴㐹ㄷ㕢愰愶㝦戰ぢ戹㘰㠶㌸晡攲ㅤ敡㐲㑦搷敢㜴㜷ㄱ㥦摢ㄵ㔴挵戱つ攵㡥ㅥ攸㍡㤰㈵㜳愲㝦㜷㙦㔷㐵㜴㔰昰挱戹捡ㄹ㌳慣慤㉥㠶㥢敡搰搶愰㉣㤱晢㉥攲ㄱ㕢扥㥤㍥㜳搶攳㈱搴つ慥㝤昱㥡搷扣攱挹戸㜲〱㑦晣搱㡢㌵㠶㠷㌹挸㘲收愷昸㑦㉥㍤㤳晢づ㥥戸㤳㘱昳〱敤〰〹㥦挳㑢㉢ㅡ㈷昱㐳㙦㘷〲扦㈹扣〲晦扤㜵㙡㠰扣㜲愰㡢㔷㐴ㄹ散㌱㡢户昲㡥㌱㡢昶㙤㤰㤶っ〳㠲挷〷㐴昴㡣昶㍡㙥㐸㜴搰㠰攴㍢㠳ㅦ㤲敦㠳昸㑤㈱㥦㈸昴攸㤸〷て㠵晣晦愱㔴㉣搵㕢㡡搵晦㠲㔰㙢摦〲㌱㠴㑣愰㐹㑢㉥戵搷ㄲ㘴捡ㄴ㡤挷㈳㌲㌱㈹晢㤶搲摦㥣挱摥戶昳㕤㍦攲晢㝦戸敤㍣〷ち昳ㄲ捦っ〹戶晢㔰㙥㌹〶㝡㡦㘳㜰㍦慡挵㌱㌸捦㍥捣摤㉢挷㈰㡡㝣㉣〰戱扤㘳挰㡣㕥㡡晢㤷㐸戰㈶㠲ㄹ摣㜷ㅤ㜴ㄹㄵ㍢㠳愳戶㔶㠰㉣㍥㑣㔵㌰㡢㌸搴ㅤ扤攸〵搳㌷摤㐳㠲㍦敤㕢㌰㘱晥ㄲ捥㙥㑢ㄷ昶戸㙢换ㅡ改戴㐵㠴㈲㡥慤敦㐵㔱㜶㜶㘲ㅤ㤴㔲㤷ち摡㙢〵㉤晦㌶攲㈳ㅡ㜷ぢ㤹捦ㅦ昸收改㝦㝤昶㑢㈷㜸㐶㉤攲搵ㅣ㤳挲㠳㈴敡改㐱㈰㤵㥢㌸ㅥ㜲㍢㍦挵㌹㠷㡦㤲㥣戵㠶㌵㘳晡攲晢〴㠶ㅢㄷㄵ攳㈵ㄸ㔳㌱摦㙥㜰㉣㜱摡㐱㌹㤶㤵慥㈰愷㝣捡㈴㠱挱㑡㘲攰ㄲ挹㡢㤳㠵㕡㕦戳㌵愰㡦㤹晢ㄳㄸ㥥户㌸㤰㑥摦㤰㝢㑤㕥㥡昶捤搸戲㈹㐴㈶㜳っ晢て戵㠱搴㈶㠱㡢戵㤴摥慢愵㜸っ㐰戴搴㈲ち戹ち㐰㑡㍥慤㍢戱换㈸挰㥥ㄲ戰㕡㐷晤〶晣㙣〵慢〸㉡挶ㄱ昸㐱昷戱摣昴挷愶㠹〹㕡搹㠹㉣愱㈰㕢ㄶ㈲㤸戱ㄵ散㈵ㄴ攲㉢㌷㠵搲㡥㠳㔰㝣㐹挹㔵改㌶㈵搸㌹㤷ㄱ戶愲㝢搲㕢挷㜹て搸㤹扣ㄸっ㙦㍦搱搸㠶㑡㘶㑥㌵㉤㉡ㄴ攱㤸㉡戶㍡㡤㐴㔵戰㔹摥㈱散㐵㤱昲攳户㐱慣㥦㙣㍦晡昶敥ㅡ摡㌸㙦ㄸㄳ攴ㅦ晣慦㝢㔲〴ㅢ㙦愵挴㐰挳敥愸㔵㐱ㅤ〸扦㡣㉥㥣㜴㐶㌳摡㐵戹搷㤸㤹㡥㈵㙢愸㔷戲㤸戳ㄶ挹扡挲摥㑣㕥㜷搸晦㈷㠱搸搶晥㙢捣戸〹挹㍥ㄳㄵ㜸㤳㘳搶㘴摢㐴つ㔷〴昱㙣愴㙣㘴㍢㙣㐸㤱㠹㙥㔵㕡挴攷慡慡㕡㌴㌸愲㕤搹敥〳ㄱ慤扥昴㙤㐷晡㉡㐰㘶㠴㜲㝦〸ㄵ搴户㍦〷摤扢愷捤㍦つ昴㠱㜳㑥捤㙦〶㑤㍢㥣㔸㐴慡㜷㠲㕦㥢搹昰㜹愶戵㍦攸㔶㙡昷㘲㈵㐶㍦㠷㍥攷㉦㐰㘱㥦户挲㜷㉡〳挹㝣挲捥昲ㄷ晣昲愸㥣㐸㉡搱㍡〴户搹㑦慣㥢つ㝣慣㝡〱ㄱ捥㤰愸㕤㘱散㔴㥣戹晢㕣〶㤷づ㈷戳ㅥ㐷ㄴ挸㙡㔴㤰ㄲ㤳㈹㍣昵㔹慥㙢昷ㅡ㜴戶㡤收ㄶ戰攵㘰㤱戶㘲敥昷㐱搳㥤扤愵㤳㘵昸㑥㝥㠳㕣㌴慥ㄲ㘲ㅢ晤㐹晣敥㍣㉣换愷㡤㠳捦愳㑦戸ㄹ晥㥡㙣㈰㘸戶㠳㥣户㠹慥摡㘳〴昸㌳㤶愳〲㙦㌴挶昶㈸㡡摡搷㌱㉤ち〰捡㤹㝣ㅤ愰㍦㔷㝦㙤㉢慥搶ㄸ摢㤱攷㠳昵㌳昴摢挴㜷㘳挸㐰戰㉢㐹㉣㜷愸㠲㕤㑤㘲戹㌹㈱ㅦㄷ戵摦挶ㅢ戸捥㙡扤㥥㈱づ㥢ㄵ搹㠴愰㙣㕣〳㠸㉦㡤㥢㄰㤹挱㙦愰㐳㙢〶㉥戰晤㘷昰攲㤶㌳愰晢㈰愳㙡挶て挷㙦㌹㌶㍦挶ㅡ敥㡣敢〴㍥㐱挰捡搸ち㡤㔱戱㔲㕢攵㔵㑡攲昵ㄳ㈸攳晡㠷攸昷捤ㄳ摦㝦㠳搷㡦㑥㘸愲㑡㔱㘵㠴搲㐲〱㡤慡㔴㘶昱搵攴㉣㌶㠰敤㍦㡢慦㙣㌵㡢㌲戵㙣ㄹ㝦挶㑤㠰搲㤸㜶ㄵ㍦㌲慢捤愸挰ㅢ捤㡣戱捦愲㄰㕦㘵戲㠶昴晤㍣ち愵戱㌲㐹挹〸㡥昱ㅣ挱捦ㄱ晣㍣挱昳〴㉦㄰㝣〱愰愴㤷㐹㕤㘹昸㐵㈲㝦㠱攰㑢〴㕦㈶昸㐵㠲㕦〲㐰㐳ㄲ㕣ㅡ晥㌲㤱㕦㈱昸ㄵ㠲慦ㄲ晣㉡挱慦〱㤴㜴㡤㐴㤷㘱晦㝡㔴攰㑤㤹㤴攷〰㑢攵㌲㠹愴㡡戹㌵ㄴ㔳扥㔰ㄲ㤷㡦㈷㍡昹攲扣㡡㉡攷㤵愱㉦戸㔱㌸㜹㔷愸扢㈸ㄱ搰搷㑡攵〷㍣慡愰㕤敦收㤴晢戱戶㉤㑥㤵㉣㡤㐶捥收㐲㙡㙢摤㡤慦ぢ㈱㔰㐵㜶㔶㡤㈹〱搲戸搹摤昸㤵㔶攳㌷攳挶㤴ㄴ㘹散㜵㌷㝥ち㡤㘳挱㔰㑦㉥㔳㉡捡昸㉢㤵㜳㘴攰ㄴ㑦㕥昶㌶㠹㉦捥ㄹ㌲挸搹昴づ㐶㙣㠵愶㕤㤰㜴㜸㐳晣㠳㔱ㅣ㜰昱昱捤昷㍣捥㙢攱㔸ぢ㑣㠸晡愷ㅦ捥攲ㅣ搷㥣ㄹ㥡昸愴㝢〳〹㜴摦㤰㍢㜶捥摢ㄷ㝣㈰㠶敤戳〱㜶㡣昵㕤挵㉤㜰㜶戲㍡愶ㅣ㌱㡤摥㤷㙢㔲ㅣ攳昶㝡挴㠹㍦㥤攷㘲〶㌳㡤㤲㉣捡㙡㡤ㄶ㤱㕦㘸㠷㈸㡤摦挴㌸愱挲㘵扣㌰㠱扦㠵㠲㑡㉥ㅤ㈰慡㑣摤㐴昵㘹晣づ㐰㘹愸ㅣ㙢㈵㡤㡡㠸㝣㤰㝦〹㘰㉣晥㠷㌷㈶㌶㈴ㅡ愴㙢㜶晣戲晦㝣昰㤰㤸㉥㈴戶㌲挶搷搸攱㘵㠰㈱㠴愲㌵戵㐸㜸改搷㠱㐹扣㌴㐷愵昶㠹晥摥㌶㌷搳昱㍦〶㠰ㄴ㘹挷㔷晦㈷昱ㄵ晦㈶ㅦ㍣㠴㝦挴㈴㈷㕢㠳慣晥戳㠳㍤㡢㡣㐶慦㕥晥㑣㑣攸㙤㍣㠷ぢ摣昶㔲昹㐴㌱愱ㅡ㔵㌷愷慢㕤挵昳昹づ㍡晤㐵㡤捡㕣搰搵〸㝤㔰搰㔴敦㠲晥㕣㠴收愹㠹愲昶㐲㡣晥㙣㠴㍥㉣攸㉦挴攸愷㈳㌴〳㌵㐵㡤㤶㐰ㅥ昲㔴㠴㔶㈳愱㙤㄰昴㘷㈲戴ㅡ〹慤㠵愰㥦㡣搰㙡㈴㕦㡥搱㥦㡥搰㙡㈴戴㈸搲晡㑡㠴㔶㈳愱㡤ㄱ昴攵〸慤㐶㐲㔳㈳攸㑢ㄱ㕡㡤㠴挶㐷搰㑢ㄱ㕡㡤㠴收㐸搰㡢ㄱ㕡㡤㠴〶㑡搰ㄷ㈳戴ㅡ〹㑤㤶愰㥦㠸搰㙡㈴㌴㘲㠲㕥㠸搰㌲㤲㌲㙤㤹戰昹㥦愲㔰ㅡ捡㔱㉡㜶㉣㥥愴敤㠰づ攰㥦愱慢㐶㤹攳㌳㡣㍦㡦ち扣搱㈸㜰㌲搲昹㘸愴昴㔸㡣扦㘰ㄵ挵㠸㈳㌴㕥攳ㅤ愵㐷扡㝦㉢㉡㐸㜷㑥㐴扡㥦㐹㜶㝦㥤㑤攴愵㈸ㄸ摦〶㠸慦㌲㕦㉥㑢昰㔷㈸㤴㠶挶昸愶㉢昸搳㙦㙡戵慢昵慢㔷㝦㍣㤶㥤戸㉢晢改挷㐶㕦㝡昳敦㝥昸攲て㥥㍥晥ㅦ㍦㜹昹攵ㅦ晣摢㡢㙦晣攴㍢换挷晦收㤵㔷扥昷愹摦㝢攳㠷晢敤㙦攸慦晤㜸晥ㅢ捦㑤㕤㝢敥扡㝤改愳愷㥦㝢昲㤹㈷愶ㄶ㙥㥢ㅣㅡㅡㅥ㝥㘰晣㙦敦㍣㕣㝥攱晡㕦㙡㝦晤㑦㜷㜸㥡っㅥ㉦攸ㅣ〶㈷㈱挳昸㉥ちㄸ〶㐷晣㙥づ愳ㅣ㉦㠲挶㜹换㡡捤㐴㉢㌶〳㐴〱戱㉥㡥㐴㉡愶㍢㉢㐶晥〷戹〷㉦戹</t>
  </si>
  <si>
    <t>㜸〱敤㕣㕢㜰㈴㔷㜹㥥㙥捤㡣愶㐷㥡搵㜸戵摥昵ㅡ㘳〴戶挱㐶㕢挳捡昶〶㍢搴戲搶㘵㙦昶㕥攴㤵㜶ㄷ㘳㠳戶㌵搳㉤戵㜷扡㐷摢摤愳㕤ㄹ㈷㌶㤷㠴〴㜸㠲〴㌰㜱㈵挴愹㍣攴〵㤲㈲㕣っ攴㈱㔵愹㈴㤵㌲㠱〷㡡㉡ㅥ愸㌲㔴㉡㜹挸愵戶㉡㉦㍣㔰㐵扥敦㍦摤㌳㍤㌳㥡㤶㍣戶ㄳ㌹愵㕥敢㥦搳㝦㥦㜳晡㥣昳㕦捦晦㥦㜶㐶换㘴㌲扦挶挵㕦㕥㔹ㄶ敥㔸搸〸㐲换慤捣㌶敡㜵慢ㅡ㍡つ㉦愸㑣晢扥戹㜱挶〹挲㈱㔴挸㉦㌹㜸ㅥ攴㤶〲攷ㄹ慢戰戴㙥昹〱㉡攵㌲㤹㐲挱搰昱㥣㥤昰慦ㅣ摦ㄸ㙣㌵㥡〵㔸㥣㥤㌹扦晣㌴㝡㕤〸ㅢ扥㜵㘸攲㤲㙡㝢㜴㙡慡㌲㔵㜹攰攱㠷ㅦ慡ㅣ㍥㌴㌱摢慣㠷㑤摦㍡敡㔹捤搰㌷敢㠷㈶收㥢换㜵愷晡㤸戵戱搸戸㙡㜹㐷慤攵挳て㉣㥢て㍥㌴昵攰㤱㈳㌶摡㡣攲搵㤹㜳戳㌳昳扥㘵〷㙦㔰㥦㌹づ昹挱㌹慢敡㜰㙥㤶攵㍢摥㑡㘵㜶〶晦㈵挶㡦扢昷㔷ㄶ㔶㉤㉢攴慢㉤摦昲慡㔶㘰愰攱㠸㍢ㅤ〴㑤㜷㡤㡢㘷戸㈷㌰搵慡ㄹ㠴㌹㜷搶慡搷つ㌷敥戵攰㥥挷摡搵捤㡤㔱㜷挱昲〲㈷㜴搶㥤㜰㈳敦㉥愲愳㕡挹扤ㄸ㔸ㄷ㑣㙦挵㍡㘷扡㔶捥㍤搹㜴㙡㔹㜵㘵㠶摥ㄳ㜷㤱ㅣ㤸㑣扦㌲ㅤ戸戳慢愶㉦㈳ち戸㌰㈹㜵㑦昸搵捥扡㜷昵敦㤷㐳㤷㌷戰捦㝢晡搷挳㤳㑢愶摦慡㌹搹扦㘶㌴昹捥ㄱ扣慦㝦晤挴ㅡ㜵戶戹慦㝦ㅢ㔹捡捥摡摡㐸挴摦戲愲㤸㡣㤱㈷ㄸ㈶㈸㄰㤰㠰㐶㤱㘰㠴㘰ㄴ㐰换晥㌷愴㈴搹㤰㡦昴㈵㔳㕦㕡搶㤷慡晡㔲㑤㕦戲昴㈵㕢㕦㕡搱㤷㔶昵㈵㐷㕦㝡㕡㕦扡㡡㍡昱㔵ㄸㅥ搶愳㙢捦て晦晥㤳戵昵㑦㑦㝦㜶昶攵晦晣㤲昹㡤㑦㡣敥㐱愵挷愳㐱捤昹收㜵戰㕡㥢㡢敦慦ㅣ收扦慤愵〲㐲㘱ㅦ戱摦㙦㑦㑤搵㡥ㅣ㌶ㅦ㌰㜳㥣㔶ち昱㍢ㄸ愵㡣扡愳昶㘵挷慢㌵慥ぢ敤敥㤸㌱〳慢扤㜰㤳搱戳㤹㐶搳慢〵㙦摢晣攱㐲㘸㠶搶敤摤捦摡㥤昴㌴㕢㠰㔸㔹㠱扣敦捥敥㘶㤷捣㝡搳㥡扥攱愸挷㙦敦㝡散捥晢㡤攵晥㑦㑦昸搶戵搶搳㥥ㄱ㑤㐳愹慤㑢摦㍤戳㔴㡦搴戸㈶㘶㔷ㅢ㠱攵挹昰㈶摤㜹愷㝡搵昲ㄷ㉣慡㐴慢㈶㔳扤㤵㡦㈲愹㥦㍣敦㘱愲㤰搶摡扢㤲㔸晢昸㡤㄰挲㙣搵㌰摥㌵换て㌷ㄶ捤攵扡戵扦愳㡡㝡㈷ㅥㅣ散㐰㥦㘸㔴㥢挱㙣挳ぢ晤㐶扤昳挹㜴㙤摤㠴愶愹㥤㙤搴慣㙣㌶㈳㑡〱ち㜷㘸㐸搳㌲敦敤㉦ぢ㐲㠸〴㠹㈹挸户㜵戲㕤攵〲㘶㠷㔹搴㉤昲愴㝥昷ㄶ㥤㜱扣愲㘳㔲㈴㌰㌱㈷摡て扥昴摥㉤扡㙤㔱敥捤慤慣敢攳搱散㡦慦㕢㕥㜸捡昴㙡㜵换㑦戵㝥ㅡ㐷㘴㡣〱攴㙥㐲㈱昴㕤㍤㥡㍡敤㠶戶㤱扢敥搴挲搵晣慡攵慣慣㠶挰挱㐲ㄶち㕣摡㥥换戸〵㈸㘳㉦挱㌸㐰戱㤸挹敦㘳愵㝣ㄱ㔷㈶㐷敤㤴㈲换ㅤ㡡㥣敤㍡㘴㜹搴㍥攱搴㐳㑢㈹攵㌱ㅢㄴ㔱㔶㑤挸㔷㈲㡢晡㘶㔵ㄹ㡣㝤昶㉣戸搴㜴扣㜰愳㉤户㍤㔲愲㤸㘸㔷ㄷ散㌸㕤㐰㔵搰愹て㔲㘴つ㑣搳愵つ搲㉢㈷㤸㠸㘲㤰㘲搹搱㜳㈷㤳戱㝥㡡㡥㐰晤㈴ㄳ戲昶攱晥㍡㠲捣摥换愴㙣搴㔷ㅥ㜷戵搹㘶扥扣搲㘶户㘲攱㡣晤〴〷〸㙥㈳㌸〸愰晤㉢㌴ㅣ戵ㅣ捡㥤㤷昱㌶摣ㅢ㜷㄰扣ㅤ〰晡挹愰捥㠹㔴ㄵ㝤愸敤昸㤱慣㔷㠲㥦㉣㑥戱㔲㐵昴㡣㕢㝥㘶挹ㄵ㐲㐷㕥攷捥戰戵㔹戱戱敦敥捦㥢挹改㤰㈳㔳慡㈶攷扡㐵搵攴㐲戰敡㠰㜶敢ㅤ㘸㙡㑣㄰扣ㄳ㐰ㄹㄶ㍡扢摢昳收改㑥扥㈵㕣㈲攵〸つ㘸摣㈳㈶愶晢㥦愲攰㝡戶㉥扢晥㌳㕤挱㐹晢㉤敦㍦ㅦ敡㉦摢ㄱ搱扢㙣收慥捤㘱慣攸㌵㝡搰敦㠲㜸㘹㍦敢㙢㕦敥挶㘳攳ㅥ㠲㜷〳㜴搹ㄷ敥扣㕦㙢㤴㐰㕣㘲㌷㐱戹扤㡣戸㠸㠷扢戸戱㘶㠹昵ㄹ戵ㄷ㑤㝦挵ちㄱ扤㌸㍤〷㍦戸攱晢㔶ㅤㅢ摡㥡㈰戸㜷㌹搰㠹っ㑥昸つ㤷昸㕤晦㌸㜸㑢ㄸ㠶㙣㔶ㅦ捡㜴昹挷㈹㝥㘶㈲摥㤴攰ㅣ摡摦〷晡㉢㠹㐴愳㑥昶㘲扢昴扤攵慥㈶ㄹ㐰㤳摣㡢㘵㌵敥〳㠰㤶搰㝥搲㔷愳㑣戲摡㈱愹搶改慤㌲扡㤷戲㌳改㡡ㅦ昶攸㤱ㄱㄵ慣㥤㐱散㈰㈸戹ぢ㡥摢㔲ㄶ㈳敥扣攵㔷ㄱ㔷㜰敡㔶㔱㠵㘴愹㙡㜶㜵挵㕢㐴㔷っつ昵散愵㔳㘲㙢挲㈷㕤㕡㈲㔵摡㔳ㅦ愶散挳摢㑣挵㄰㈴㤵㑡㑡㔸愸愵㠱挸㜹慣扢慢㘲〶㔰㌱ㄵ㉣㥣昱㍥㠲挳〴㔳〰戹㝦㠶愶搹敥挲㌳ㄵ㌶扣捥㜰昶搲㔲愶㐰㌲㐸㜸昰〷㝤㤵搵㠳㝣捤ㄱ㠲摦〰攸㜲㝦ㄸ㝣㑣㘱㐴㈱㜹㠲ㄱ改㉤ㄹ昶㈵挷扡㑥ㅥ搸㘳㈳愹㌴摢っ挲㠶换慣㔲挹㥥㙢㥣㙢㠴㜳㑥戰㠶㉣搴戸ㅤㄵ㉥慦㕡ㅥ戸换㠷敦搳㠵㙢慣慤㔹㌵挳㕥㘸㌴愱摡㑥捦敤㠴㑤㌹收〷㕦㔲昶攵扡㠶㙢戰扤㌱扡搰㘴㐷㡣㔸㉢㈳戱摢㡡㝣㜳搳㌷搶㕥搱㐵㈷慣㕢㈳戶ㄲ㍡㤶ぢ㌶㔶ㄱ㔹㠳摡戰扤戸敡㕢搶㕣挹㍥改㍢戵扡攳㔹㈴〶㝣㑣㈶敡捥㔸㉢挸㄰捣㌷㤸晦㙢㜸㈵㝢搱㌷扤㘰捤㘴㌲㜱㘳㙦挷㥤愴㐴㜲昶㡣攳〵㜸㡤㔰㤱攵㌱㝢㘱戵㜱ㅤ搹摡愶敢㥤㌴搷㠲ㅤ㐱ㄵ㌲扤扡㠴㌴㥡慥改扡㔶搰ぢ㠳搲㠷ㅢ昲㑣收㝥晣㘵〹㠴㔶㤹ㅣ攳攵㈹搶㥢㝥㝤㤴㥦愱㥦捥㌱㡤㈲㜳搴㐲づ愵㙡㘱㑡慡昱㄰摢㍣っ昰攸挹㡢愷摢㔹戹搷㤵慦捥㌱挲㥦愲攳㠵㉤㕡㐹㄰挶攷昶㈸㔶㈱㡥㥣〳〹〴挵㜹搷捤㝥㐵㕢敡㤰晢昶戴㡢㈷㤰㐵ㅡ戵捦㤸换㔶ㅤ戹㘸搷っ昷愸ㅢ扡戱慥㔹て愲㘷戳つ搷㌵挹㕡㘴换㠵慡㐹づ㥥㙥㠶㡤戳㡥㘷搸〰挲㝦ㄱ捡扣〱㤴㜹㐳㔰愳昶〵愶〵愵捣扥ㅡ㉢愶敦㠴慢慥㔳㉤昰㠶愹扢ㅤ挱㤳㄰㜲㙡摥昸㡡㜵挶㐴㤷㌷㝦ㄱ㉥㕢㔰〱戹㉢搰愳㕣㍡㤲ㅦ㥣慢㙢㜹晣搳〶っ㉣㐱挱㐸㤴搴昸〰㝡换挹挹〸愸ㅣ戹㙥挶攷㉦㙥㍥〷㡣㡡换㤱敡㈹㉣㠲㠸㘰㐲挹㌳扣㥤户㉦㝡㑥〸敡㤱㘲㈷㥣㜰㉥〰挹〱㔰㤴敤敤敤㐲搵㐴愳挹㤶㔵㜸㐷敦愳づ㌳㜱㘷敦昳愴摤戸㝢㤳挷捡愲㈴っ挹㔶㤵挴戲㙣㌲挶㥤㘴㙡㌴㌱摣戱戵搱搲挲愶敤㜵愷ㄶ㜹ㅤ㠶㐹㜸㈶㘳ㅣㄵ㐶㐱㤲㤷摣〱ㅢ挵㜸㝤㍡㝢㈴戲㌵昴〱㡡戴㔳ち㔷㡡搲㠱愷㜱攴愴㘶ㄵ愳㍢挸昷㥥愸㜸扥ㄹ㜶㍣㌱㙦㡣㐷㑦愶敢昵昳ㅥ扣㠴慡改搷㜶㠸㐸㘳㙥捡挲㠸㜴づ㙡晤搵昲㈶〴㌱ㄲ㐳愶㐴㔲攲挰㄰㐳〸㔷㈲㥢㑡敦慣挴愵㙥愱ぢ扣㍢㙢㤹㥥㔰㘰㈱慣捤㔹敢攲㠶戵㍤昹㜱㘹搰摡㉤㡡ㅥ㌵散改攵〰㈶㍤愴ㅥ㡦㑡㈲攰㠶㝤㠱㘱㈹ㅣ㘰㠰摡㡤㑡昳搵㄰㘹摤㔶〷摣ㄹ散ㅣ敡㘰㐵㔴摡㠴摥ㄹ㌵㘸㍥㠵㜱㍢㈷㐱搹ㄹ㤰愲㔰愴戶㕣晦㜵㑣晢捡ぢ扣晥攲㔸㈶㉥㐴㐲挴㔴㔷㡡昷〰攲㈶戳㤲㤴愲昱㌸㔹慥㌴㥢㈸慤搱ㄸ㐷ㄷ愳㐴㤷捦て㜱㠲㠷㜹慣㌱㡡㑤ㅤ㘷摣㐲〷搶戴扥戱挷㍥敤㔵敢捤㥡㈵愶㌸搶搵㘲㤱㜷〴扤攴昸㥦㤲愶㤴㜵㠹ㄶ攵㌴戶㔲㥣㌲㠹㌴戸摦㙤㝣㄰捤㐵挹愱て愵摢㤸㝣㑣〹换㐹㌲慣攷㡣〲晤挳扤敤挳ぢ㜲㜰づ㉡慤〷㐵㕤㜶〶㘷昱㕡ㄹ㘴㤱戶㐴戵㌳㡤㌳つ晡散〹搴㈹㐷愱㜶〴㡤㌰㑦愵昰昲㜹㌸㈳〳㑡〷㍢挹摣㡣㌲扢㌷㥦㤳摢捣捤㘳㤱昳愱㌱扦换㕤㔰〶慢ち㐱愲挳慤户扤㙥㡤㤹㕦㝡摥挶㈳〰ㅡ㔳挰㜴㘸㔱㔳㌹㌸㌳㈸㙦敤攰㌰ㄹ㤹㤲ㅤ㑤㈶㔲㤹愳ㅣ㐷挰ㅥ㐴㠳㌴㜱㈳扤搸㠰ㄱち昷挹愱戰昸㕣攲愴㡢㉤㔰挳摦摦㠵㥣㌷㐳ㅣ㝤昱づ㜶愱愷㙢㌵扡扢㠸捦敤〸慡攲搸㠶㜲㐷昷㜵ㅤ挸㤲㌹搱扦扢慢敢㐱㜴㔰昰晥戹捡㈹㌳慣慥㉥㠴ㅢ敡搰搶愰㉣㤱晢ㅢ挴㈳㌶㝤㍢㝤收慣挷㐳愸敢㕣晢攲㔵慦㜱摤㤳㜱攵〲㥥昸愳ㄷ㙢って㜳㤰挵捣慦昱㑦㉥㍤㤳晢㍥㝡摣捥戰搹㐱㍢㐰挲㝥㜸㘹㐵攳㌸㝥攸敤㑣攰㌷㠵㔷攰扦户㑥つ㤰㔷昶㜵昱㡡㈸㠳㕤㘶昱㔶摥㌰㘶搱扥ぢ搲㤲㘱㐰昰昸㠰㠸㥥搱㕥挶つ㠹づㅡ㤰㝣愷昰㐳昲扤ㄳ扦㈹攴ㄳ㠵ㅥㅤ昳攰愱㤰晦㍦㤴㡡愵㝡㔳戱晡㕦㄰㙡敤摢㈰㠶㤰〹㌴㘹挹愵昶慤〴㤹㌲㐵攳戱㠸㑣㑣捡扥愶昴㌷㘷戰扢敤㝣搳㡦昸晥ㅦ㙥㍢捦㠲挲扣挴㌳㐳㠲敤㙥㤴㕢㡥㠱摥攳ㄸ摣㠳挷攲ㄸ㥣㘳ㅢ收敥㤵㘳㄰㐵㍥收㠱搸摡㌱㘰㐶㉦挵晤㑢㈴㔸ㄳ挱っ敥扢昶扢㡣㡡㥤挲㔱㕢㉢㐰ㄶㅦ愶㉡㤸㐵ㅣ敡㐰㉦㝡摥昴㑤昷愰攰㑦晡ㄶ㑣㤸扦㠸戳摢搲㠴㉤㙥摦昴㠹㌴摡㈴㐲ㄱ挷搶㜷愳㈸摢㍢戱づ㑡愹㑢〵敤戵㠲㤶㝦ㅤ昱ㄱ㡤扢㠵捣挷昶㝤敤攴捦㥦昹搴㌱㥥㔱㡢㜸㌵挷愴昰㈰㠹㝡㝡㄰㐸攵㈶㡥㠷摣捡㑦㜱捥攲愳㈴㘷慤㙥捤㤸扥昸㍥㠱攱挶㐵挵㜸〹挶㔴捣户ㄳㅣ㑢㥣㜶㔰㡥㘵愵㉢挸㈹㥦㌲㐹㘰戰㤲ㄸ戸㐴昲攲㘴愱搶搷㙣つ攸㘳收扥づ挳昳ㅡ〷搲改ㅢ㜲慦挹㑢搳扥ㄶ㕢㌶㠵挸㘴㡥㘰晦愱㌶㤰摡㈴㜰戱㤶搲㝢戵ㄴ㡦〱㠸㤶㕡㐰㈱㔷〱㐸挹愷㜵㈷㜶ㄹ〵搸㔵〲㔶敢愸摦㠰㥦慤㘰ㄵ㐱挵㌸〲㍦攸㍥㤶㥢晥搸㌴㌱㐱㉢㍢㤱㐵ㄴ㘴换㐲〴㌳戶㠲扤㠸㐲㝣攵愶㔰摡㜶㄰㡡㉦㈹戹㉡摤愶〴㍢攷㌲挲㔶㜴㡦㝢㑤㥣昷㠰㥤挹㡢挱昰昶ㄲ㡤㙤愸㘴收㔴搵愲㐲ㄱ㡥愹㘲慢搱㐸昴〸㌶换㍢㠸扤㈸㔲㝥晣㌶㠸捦㈷摢㕤摦摡晤㠴㌶捥ㅢ挶〴昹〷晦敢捥ㄴ挱挶㕢㈹㌱搰戰摢慡㔵㔰〷挲㉦愱〹㈷㥤搱㡣㜶㔱敥㌵㘶愶㘳挹ㅡ敡㤵㉣收慣㐵戲㉥戳㌵㤳搷ㅤ昶晦〹㈰戶戴晦ㅡ㌳㙥㐲戲て㐷〵摥攴㤸㌵搹㌲㔱挳ㄵ㐱㍣ㅢ㈹ㅢ搹づㅢ㔲㘴愲㕢㤵ㄶ昰戹慡㝡㉣ㅡㅣ搱慥㙣昷㠱㠸㔶㕢晡戶㈳㝤ㄵ㈰㌳㐲戹㍦㠷ち敡摢㥥㠳敥摤搳收㥦〲㝡摦㔹愷敡㌷㠲㠶ㅤ㑥㉣㈰搵㍢挱慦捤㙣昸㍣搳摡㥦㜵㉢戵扢戰ㄲ愳ㅦ㐵㥢㜳攷愱戰捦㔹攱ㅢ㤵㠱㘴㍥㘱㝢昹ぢ㝥㜹㔴㑥㈴㤵㘸ㅤ㠲㕢散挷㥢㘶ㅤㅦ慢㥥㐷㠴㌳㈴㙡㐷ㄸ㍢ㄵ㘷敥㍥㤷挱愵挳挹慣挷㄰〵戲敡ㄵ愴挴㘴ち㑦㝥㠴敢摡扤〶㥤㜵愳戹〵慣㌹㔸愴慤㤸晢㔳搰㜴㝢㙦改㘴ㄹ扥㤳摦㈰ㄷ㡤㉢㠴搸㐶㝦㄰扦摢て换戲户㜱昰㜹昴〹㌷挳㕦㤳㜵〴捤戶捥㜹ㄷ戵㐷搰㤶敤つ㌳㉡昰㐶㘳㕣㡦㘲愸晤㌱愶㐴收㐷㌹㤳慦〲昴攷攸ㄷ㌷攳㘸㡤㜱ㅤ改摦㘲て搱㥦挶㜰㠱㘰㈱っ㙤㉣㜷愷㠲㕤㐹㘲戹㌱㈱てㄷ戵㉦攳つ㕣㘳戵㔶づ㜱搸愸挸〶〴㘵攳㘹㠰昸搲戸〱㤱ㄹ晣㈱ㅡ戴㘶㔰〷戶晦っ扥戰改っ攸㍡挸愸扣戸㜳晣㤶㘳搳㘳㌴㜰㘷慣ㄱ㕣㈳昰昹㌰戶㐰㘳㔴慡搴㔴㜹㤵㡥㜸昹ㄸ捡戸㝥ㄴ晤扥㝡散〷慦昰晡㡦㘳㥡愸㔱㍣㌲〲愹愱㠰㐶㌵㉡戳昸㕣㜲ㄶ㑤㘰晢捦攲㌳㥢捤愲㑣つ㕢挶㥦㜱ㅤ愰㌴愶㕤挱㡦捣敡㐶㔴攰㑤搹㈴挰㥦戱〱㔰ㅡ㉢㤳㘸㡣搳ㄸ捦㄰㝣㡣攰㔹㠲摦㈲昸㙤㠲攷〰㑡㝡㤹㜴㤴㡡捦ㄳ昹㜱㠲㑦㄰㝣㤲攰㔳〴扦〳㠰㡡㈴慤㔴晣㕤㈲㍦㑤昰㝢〴扦㑦昰ㄹ㠲捦〲㤴㜴㡤攴㤵〱㝥㉥㉡挸〰㐹㘳づ戰㔴㉥㤳ㅣ慡㤸㈳つ㔲扥㐳ㄲ挷㡥攷㌶昹攲扣㡡ㅤ攷㤵㌹㉦戸㔱搰㜸㐷㈸戵㈸摣摦搷ㄶ攵〷㍣㤰愰〵摤㍣㜱て搶戶挵㤳㤲㡢搱搶戰㌸㕣㐸捤敦慥㝣㑤〸㠱㐷㘴㕣㔵㤹扣㉥㤵慦㜵㔷㝥愹㔵昹搵戸㌲㘵㐲㉡慦㜵㔷㝥ㄲ㤵㘳ㄱ㔰㍤㤷挹晦ㄱ㔹挹慡㈹晥扡散㘰ㄲ摦㤵㡦愱㝡捥愶て㌰㘲㉢㌴戵扦㈴扤敢攲〵㡣攲ㄸ㡢㡦㉦扢捦攰㔴ㄶづ慦挰㔰愸晦挱挳㘹㥣搶㥡㌳㐳ㄳㅦ㙥慦㈳㑤敥ㅢ㜲挷挶㜹晢扣て挴戰㝤㍡挰扥戰戶愳戸〵㉥㑤㔶挷㤴㈳愶搱晢㜲㑤㡡晢摢㕥㡦㌸扤愷昳昴换㘰〶㔰㔲㐲㔹捤㙢ㄱ昹昹㜶㈰搲昸〲挶〹㘵㉤攳㠵愱晢〳ㄴ㔴ち㘹ㅦ㔱㘵㙡㈱㉡㑡攳㡢〰愵㈱㡤晡㠷攴捦㝦〹㘰㉣晥扦㙡㑣慣㑢愸㐷搷㔶攳㜷晣晢晤〷挵㌶㈱㙢㤵㌱㕥㘰㠳慦〰っ㈱捥慣愹戵挱扢晥〸㤸挴扢㜲搴㘵ㅦ攸敦㑡㜳愷ㅣ㝦改㡦晣㘷挷㈷晤挷昱㠹晥〶㍢ㅥ挲晦愱㈴㈷㝥㝦㔶晦捤挱晡㈲㝦攵搰㤵晣㔵㌱愱搷搱て搷戵敤㠲戲㐷戱㤱ㅡ㌵㌶愷慢㉤愳㝦扥㠳ㅥ㝤㔱愳づㄷ戴ㄹ愱昷ぢ㥡㕡㕤搰㔷㈲昴〱㐱㔳捦ぢ㝡㈹㐲摦㉢㘸㙡㝥㐱㝦㌴㐲摦㈷攸攷㘳昴㐷㈲戴ㅡ挹挷㘳昴㔳ㄱ㕡㡤㠴㐶㐲㍡㜹㌲㐲慢㤱搰㙣〸晡挳ㄱ㕡㡤㠴㠶㐴搰㑦㐴㘸㌵ㄲ㥡ㄶ㐱㝦㈸㐲慢㤱搰挲〸晡㜲㠴㔶㈳愱捤ㄱ昴愵〸慤㐶㐲㉢㈴攸㡢ㄱ㕡㡤㠴㜶㐹搰㡢ㄱ㕡㡤㠴㤶㑡搰ぢㄱ㕡㡤㠴戶㑢搰ㄷ㈲戴㡣愴㑣ㄳ㈶摣晤㜵ㄴ㑡㐳㌹ち挳戶愵㤲戴ㅤ捣扢㌳晥ㄲ㑤㌵㡡ㅡ晢㌰晥㉡㉡昰㐶愳㥣挹㐸捦㐵㈳愵㑢㘲㝣㠳㡦㈸㐶ㅣ愱昱搷扣愳昴㐸昳㙦㐶〵㘹捥㠹㐸昳㐷㤳捤扦捤㉡昲㔲ㄴ㡣敦〰挴㔷㤹㉦㤷㈵㜸ㄹ㠵搲搰ㄸ摦㜴ㄹ㝦晡つ慤㝡愵㜶攵捡㉦挷戲ㄳ户㘷㍦昴挸攸ぢ慦晥搳㉦㍥晦攳愷㡥晥摢慦㕥㝣昱挷晦昲昹㔷㝥昵晤攵愳晦昰搲㑢㝦昷攸㥦扣昲㡢扤昶㔷昵㙦晤昲捣㔷㥦㥤扡晡散㌵晢攲㝢㑦㍥晢挴搳㡦㑦捤摦㌲㌹㌴㌴㍣晣㥥昱㝦扣敤摥昲昳搷扥愳晤敤㑦て㜸㥡っㅥ㉦㌰扥ぢ㄰㕦㘵㑥㐲㠶昱㍤ㄴ㌰っ㡥昸捤ㅣ㐶㤹㡢愰捣㤹挶㤹换㥡捤㐵㙢㌶〳㐴㐱换㤴攳ㄱ㙡ㅣ㤴搴㤸敤慣㌱昲㍦㌱ㅡ㉦㘳</t>
  </si>
  <si>
    <t>㜸〱敤㕣㕢㙣ㅣ搷㜹摥ㄹ㜲㤷㍢㑢慥戸ㄶ㘵挹㜲ㅣ㠷㠹慤挴づ㠵㡤㘸㔹㡤摤㐰㤱㜹搱㠵戶㉥戴㐸㐹㜱散㠴ㅡ敥捥㤰㘳敤捣㔲㌳戳㤴攸戸戵搳愶㤷㈴㝥㑡㝡㜳敡戶愹㡢㍥昴㈵改㉤ㄷ㈷改㐳㠱〰㈹㕡愷攸㐳搰㈰て〱㥣愰㘹ㅦ㕡ㄴ〲晡ㄲㄴ〱搲敦晢捦捣敥散㉥㜷㐸慦敤㤶㉥㌸㌲晦㍤昳捦㌹㘷捥㌹晦昵晣晦ㄹ㘷戴㑣㈶昳㜳㕣晣攵㌵挸挲㕤ぢㅢ㐱㘸戹攵㤹㝡慤㘶㔵㐲愷敥〵攵㈹摦㌷㌷捥㍡㐱㌸㠰ち戹㈵〷捦㠳散㔲攰㍣㘳攵㤷搶㉤㍦㐰愵㙣㈶㤳捦ㅢ㍡㥥戳ㄳ晥㤵攲ㅢ㠳慤㐶〶〱ㄶ㘷愶㉦㉣㍦㡤㕥ㄷ挲扡㙦ㅤㅥ扦慣摡ㅥ㥦㥣㉣㑦㤶㡦㍥晣昰㐳攵㈳㠷挷㘷ㅡ戵戰攱㕢挷㍤慢ㄱ晡㘶敤昰昸㝣㘳戹收㔴ㅥ戳㌶ㄶ敢搷㉣敦戸戵㝣攴攸戲昹攰㐳㤳てㅥ㍢㘶愳捤〸㕥㥤㌹㍦㌳㍤敦㕢㜶昰㈶昵㤹攵㤰ㅦ㥣戵㉡づ攷㘶㔹扥攳慤㤴㘷愶昱㕦㘲晣戸晢㘰㜹㘱搵戲㐲扥摡昲㉤慦㘲〵〶ㅡづ扢㔳㐱搰㜰搷戸㜸㠶㝢ち㔳慤㤸㐱㤸㜵㘷慣㕡捤㜰攳㕥昳敥〵慣㕤捤摣ㄸ㜱ㄷ㉣㉦㜰㐲㘷摤〹㌷㜲敥㈲㍡慡ㄶ摤㑢㠱㜵搱昴㔶慣昳愶㙢㘵摤搳つ愷㍡愸慥捣挰晢攲㉥㤲〳㤳改㤷愷〲㜷㘶搵昴㘵㐴〱ㄷ㈶愵敥㈹扦搲㕥昷㥥摥晤㜲攸昲〶昶㜹愸㜷㍤㍣戹㙣晡捤㥡ㄳ扤㙢㐶㤳㙦ㅦ挱〷㝡搷㑦慣㔱㝢㥢晢㝢户㤱愵㙣慦慤つ㐷晣㉤㉢㡡挹ㄸ㌹㠲㈱㠲㍣〱〹㘸ㄴ〸㠶〹㐶〰戴挱晦㠲㤴㈴ㅢ昲㤱扥㘴敡㑢换晡㔲㐵㕦慡敡㑢㤶扥㘴敢㑢㉢晡搲慡扥攴攸㑢㑦敢㑢搷㔰㈷扥昲㐳㐳㝡㜴扤昶捡㑦扥㍦昷摦㤵戹㍦㜸攱㉦㡦ㅥ晡㠷㥦㍣㍥戲〷㤵ㅥ㡦〶㌵敢㥢㌷挰㙡㉤㉥㝥愰㝣㠴晦戶㤶ち〸㠵㝤捣晥愰㍤㌹㔹㍤㜶挴㍣㙡㘶㌹慤ㄴ攲户㌱㑡〹㜵㐷散㉢㡥㔷慤摦㄰摡摤㌵㙤〶㔶㙢攱㈶愲㘷搳昵㠶㔷つ摥戱昹挳㠵搰っ慤㍢㍢㥦戵㍡改㙡戶〰戱戲〲㜹摦摤㥤捤㉥㥢戵㠶㌵㜵搳㔱㡦摦搹昱搸㥤昷敢换扤㥦㥥昲慤敢捤愷㕤㈳㥡㠲㔲㕢㤷扥扢㘶愹ㅥ愹㜱㡤捦慣搶〳换㤳攱㑤戸昳㑥攵㥡攵㉦㔸㔴㠹㔶㔵愶㝡㍢ㅦ㐵㔲㍦㜱挱挳㐴㈱慤搵昷㈴戱昶挹㥢㈱㠴搹慡㘲扣㙢㤶ㅦ㙥㉣㥡换㌵㙢㝦㕢ㄵ昵㑥㍣㌸搸㠶㍥㔵慦㌴㠲㤹扡ㄷ晡昵㕡晢㤳愹敡扡〹㑤㔳㍤㔷慦㕡㠳㠳ㄹ㔱ち㔰戸〳〳㥡㤶㜹㝦㙦㔹㄰㐲㈴㐸㑣㐱扥愳㥤敤捡ㄷ㌱㍢捣愲㘶㤱㈷昵㝢户攸㡣攳ㄵㅤ㤳㈲㠱㠹㌹搱㝥昰愵昷㙤搱㙤㤳㜲㙦㙤㘵㕤ㅦ㡢㘶㝦㜲摤昲挲㌳愶㔷慤㔹㝥慡昵搳㌸㈲㘳ㄴ㈰㝢ぢち愱攷敡搱搴㘹㌷戵㡤散つ愷ㅡ慥收㔶㉤㘷㘵㌵〴づㄶ㌲㥦攷搲㜶㕤挶㙤㐰ㄹ㝢〹挶〰ち㠵㑣㙥ㅦ㉢攵ち戸㌲㔹㙡愷ㄴ㔹㙥㔳攴㙣搷㈶换㈳昶㈹愷ㄶ㕡㑡㈹㡦摡愰㠸戲㙡㐲扥㈲㔹搴㌷㉢捡㘰散戳㘷挰愵愶攳㠵ㅢ㉤戹敤㤲ㄲ挵㐴扢扡㘰挷改〲慡㠲㜶㝤㤰㈲㙢㘰㥡づ㙤㤰㕥㌹挱㐴ㄴ㠳ㄴ换㡥㥥摢㤹㡣昵㔳㜴〴敡㈷㤹㤰戵㡦昴搶ㄱ㘴昶㙥㈶㘵愳㥥昲戸慢捤㌶昳攵㤵㌶扢ㅤぢ㘷散㈷㌸㐰㜰〷挱㐱〰敤㕦愱攱愸攵㔰㙥扦㡣㜷攰摥戸㡢攰㥤〰搰㑦〶㜵㑥愴慡攸㐳㙤挷㡦㘴扤㈲晣㘴㜱㡡㤵㉡愲㘷摣昴㌳㡢慥㄰㍡昲㍡㜷㠶慤ㅤㄴㅢ晢摥摥扣㤹㥣づ㌹㌲愵㙡㜲慥㕢㔴㑤㉥〴慢昶㘹户摥㠵愶挶㌸挱扢〱㤴㘱愱戳扢㍤㙦㥥敥攴摢挲㈵㔲㡥㔰㥦挶㍤㘲㘲扡晦㈹ち慥㙢敢戲敢㍦搳ㄵ㥣戰摦昶晥昳攱摥戲ㅤㄱ扤挳㘶敥摡ㅣ挶㡡㕥愷〷晤ㅥ㠸㤷昶挳㥥昶攵㕥㍣㌶づㄱ扣ㄷ愰挳扥㜰攷晤㝡愳〴攲ㄲ扢〹捡敤㘵挴㐵㍣摣挵㡤㌵㑢慣捦㠸扤㘸晡㉢㔶㠸攸挵摣㉣晣攰扡敦㕢㌵㙣㘸慢㠲攰摥攵㐰㍢㌲㌸攵搷㕤攲㜷晤攳攰㙤㘱ㄸ〶〷昵㠱㑣㠷㝦㥣攲㘷㈶攲㑤〹捥愱晤㍤摡㕢㐹㈴ㅡ戵戳ㄷ摢愵敦㉤㜷㌵㐹ㅦ㥡攴㍥㉣慢㜱㍦〰戴㠴昶捦㍤㌵捡〴慢ㅤ㤶㙡敤摥㉡愳㝢㈹㍢㤳㡥昸㘱㤷ㅥㄹ㔶挱摡㘹挴づ㠲愲扢攰戸㑤㘵㌱散捥㕢㝥〵㜱〵愷㘶ㄵ㔴㐸㤶慡㘶㔷㔷扣㑤㜴挵挰㐰搷㕥㍡㈵戶㈶㝣搲愱㈵㔲愵㍤昵㘱捡㍥扣挵㔴っ㐱㔲愹愴㠴㠵㥡ㅡ㠸㥣挷扡扢㉡愶てㄵ㔳挶挲ㄹㅦ㈰㌸㐲㌰〹㤰晤㐷㘸㥡敤㉥㍣㔳㘱㐳敢っ㘷㉦㉤㘵昲㈴㠳㠴〷扦摢㔳㔹㍤挸搷ㅣ㈳昸〵㠰づ昷㠷挱挷ㄴ㐶ㄴ㤲㈷ㄸ㤱摥㤲㘱㕦㜶慣ㅢ攴㠱㍤㌶㤲㑡㌳㡤㈰慣扢捣㉡ㄵ敤搹晡昹㝡㌸敢〴㙢挸㐲㡤搹㔱攱捡慡攵㠱扢㝣昸㍥ㅤ戸晡摡㥡㔵㌵散㠵㝡〳慡㙤㙥㜶㈷㙣捡㌱㍦昸㤲戲㉦搷㌵㕣晤敤㡤搱㠵㈶㍢㘲挴㕡ㄹ㠹摤㔶攴㥢㥢扥搱搶㡡㉥㍡㘱捤ㅡ戶㤵搰戱㥣户戱㡡挸ㅡ㔴㠷散挵㔵摦戲㘶㡢昶㘹摦愹搶ㅣ捦㈲㌱攰㘳㌲㔱㜷搶㕡㐱㠶㘰扥捥晣㕦摤㉢摡㡢扥改〵㙢㈶㤳㠹ㅢ㝢摢敥㈴㈵㤲戵愷ㅤ㉦挰㙢㠴㡡㉣㡦摡ぢ慢昵ㅢ挸搶㌶㕣敦戴戹ㄶ散〸慡㤰改搵㈵愴搱㜴㑤搷戵扣㥥敦㤷㍥摣㤰㘷㌲て攰㙦㤰㐰㘸㤵挹㌲㕥㥥㘲扤改搷㐷昹ㄹ晡改ㅣ搳〸㌲㐷㑤攴㐰慡ㄶ愶愴ㅡて戱捤挳〰㡦㥥扥㌴搷捡捡扤愱㝣㜵㤶ㄱ晥ㄴㅤ㉦㙣搱㑣㠲㌰㍥户㐷戱ち㜱攴ㅣ㐸㈰㈸捥扢㑥昶㉢搸㔲㠷摣户愷㔵㍣㠵㉣搲㠸㝤搶㕣戶㙡挸㐵扢㘶戸㐷摤搰㡤㜵捤㕡㄰㍤㥢愹扢慥㐹搶㈲㕢㉥㔴㑣㜲昰㔴㈳慣㥦㜳㍣挳〶㄰晥㡢㔰收㑤愰捣㥢㠲ㅡ戱㉦㌲㉤㈸㘵昶㔵㕦㌱㝤㈷㕣㜵㥤㑡㥥㌷㑣摤敤〸㥥㠴㤰㔳昳挶㔷慣㌳挶㍢扣昹㑢㜰搹㠲㌲挸㕤㠶ㅥ攵搲㤱晣攰㕣㕤换攱㥦搶㘷㘰〹ち㐶愲愴挶㠷搰㕢㔶㑥㐶㐰攵挸㜵㉢㍥㝦㜱敢㌹㘰㔴㕣㡥㔴㑦㘱ㄱ㐴〴ㄳ㑡㥥攱敤㥣㝤挹㜳㐲㔰㡦ㄴ㍢攵㠴戳〱㐸づ㠰愲㙣㙦敦ㄴ慡㈶ㅡ㑤㌴慤挲扢扡ㅦ戵㤹㠹扢扢㥦㈷敤挶扤㥢㍣㔶ㄶ㈵㘱㐸戶慡㈴㤶㘵㤳㌱敥㈴㔳愳㠹攱㡥慤㡤㤶ㄶ㌶㙤慤㍢戵挸ㅢ㌰㑣挲㌳ㄹ攳戸㌰ち㤲扣攴づ搸㈸挶敢搳搹㈳㤱慤愱て㔰愰㥤㔲戸㘲㤴づ㥣挳㤱㤳慡㔵㠸敥㈰摦㝢愲攲㠵㐶搸昶挴扣㌹ㄶ㍤㤹慡搵㉥㜸昰ㄲ㉡愶㕦摤㈱㈲㡤戹㈹ぢ㈳搲搹慦昵㔷换㥢㄰挴㐸っ㤹ㄲ㐹㠹〳㐳っ㈱㕣㠹㙣㉡扤戳㈲㤷扡㠹捥昳敥㥣㘵㝡㐲㠱㠵戰㍡㙢慤㡢ㅢ搶昲攴挷愴㐱㜳户㈸㝡搴戰愷㤶〳㤸昴㤰㝡㍣㉡㠹㠰ㅢ昶㐵㠶愵㜰㠰〱㙡㌷㉡捤㔷㐲愴㜵㥢ㅤ㜰㘷戰㜳愸㠳ㄵ㔱㘹ㄳ㝡㘷搴愰戹ㄴ挶㙤㥦〴㘵愷㑦㡡㐲㤱摡㜲晤攷〹敤ぢ㉦昲晡戳ㄳ㤹戸㄰〹ㄱ㔳㕤㈹摥〳㠸㥢捣㑡㔲㡡挶攲㘴戹搲㙣愲戴㐶㘲ㅣ㕤㡣㈲㕤㍥㍦挴〹ㅥ收戱㐶㈹㌶㌵㥣㜱ぢㅤ㔸搳摡挶ㅥ㝢捥慢搴ㅡ㔵㑢㑣㜱慣慢挵㈲敦〸㝡挹昱㍦㈵㑤㈹敢ㄲ㉤捡ㅣ戶㔲㥣㌲㠹搴扦摦㙤㝣ㄸ捤㐵挹愱て愵摢㤸㝣㑣〹换㐹㌲慣敢㡣〲晤挳扤慤挳ぢ㜲㜰づ㉡慤ぢ㐵㕤㜶ㄶ㘷昱㥡ㄹ㘴㤱戶㐴戵戳昵戳㜵晡散〹搴ㄹ㐷愱㜶〴㡤㌰㑦愵昰㜲㌹㌸㈳㝤㑡〷㍢挹摣㡡㌲扢户㥥㤳摢捣慤ㄳ㤱昳愱㌱扦换㕤㔰〶慢ち㐱愲挳慤户扣㙥㡤㤹㕦㝡摥挶㈳〰ㅡ㔳挰㜴㘸㔱㔳㌹㌸搳㈸㙦敤攰㌰ㄹ㤹㤲ㅤ㑤㈶㔲㤹愳ㅣ㐳挰ㅥ㐴㠳㌴㜱㈳扤㔸㠷ㄱち昷挹愱戰昸㕣攲㠴㡢㉤㔰摤摦摦㠱㥣㌷㐳ㅣ㝤昱づ㜶愰愷慡㔵扡扢㠸捦敤〸慡攲搸㠶㜲㐷昷㜵ㅣ挸㤲㌹搱扦扢愷攳㐱㜴㔰昰㠱搹昲ㄹ㌳慣慣㉥㠴ㅢ敡搰㔶扦㉣㤱晤ㅢ挴㈳㌶㝤㍢㝤收㐱㡦㠷㔰搷戹昶㠵㙢㕥晤㠶㈷攳捡〶㍣昱㐷㉦搶ㄸㅡ攲㈰ぢ㤹㥦攳㥦㕣㝡㈶晢㉤昴戸㥤㘱戳㠳㔶㠰㠴晤昰搲ち挶㐹晣搰摢ㄹ挷㙦ち慦挰㝦㙦㥥ㅡ㈰慦散敢攰ㄵ㔱〶扢捣攲慤扣㘹捣愲㝤〳愴㈵挳㠰攰昱〱ㄱ㍤愳扤㠲ㅢㄲㅤ㌴㈰昹捥攰㠷攴㝢㌷㝥㔳挸㈷ち㍤㍡收挱㐳㈱晦㝦㈸ㄵ㑢昵愶㘲昵扦㈰搴摡搷㐰っ㈱ㄳ㘸搲㤴㑢敤慢〹㌲㘵ち挶㘳ㄱ㤹㤸㤴㝤㕤改㙦捥㘰㜷摢昹㤶ㅦ昱晤㍦摣㜶㥥〳㠵㜹㠹㘷㠶〴摢扤㈸㌷ㅤ〳扤换㌱㌸㠴挷攲ㄸ㥣㘷ㅢ收敥㤵㘳㄰㐵㍥收㠱搸摡㌱㘰㐶㉦挵晤㑢㈴㔸ㄳ挱っ敥扢昶扢㡣㡡㥤挱㔱㕢㉢㐰ㄶㅦ愶㉡㤸㐱ㅣ敡㐰㌷㝡摥昴㑤昷愰攰㑦晢ㄶ㑣㤸扦㠸戳摢搲㠴㉤敥摣昴㠹㌴摡㈴㐲ㄱ挷搶㜷愳㈸摢㍢戱づ㑡愹㑢〵敤戵扣㤶㝢〳昱ㄱ㡤扢㠵捣㈷昶㝤改昴㡦㥥昹搴〹㥥㔱㡢㜸㌵换愴㜰㍦㠹㝡㝡㄰㐸攵㈶㡥㠷摣捥㑦㜱捥攱愳㈴㘷慤㘶㑤㥢扥昸㍥㠱攱挶㐵挵㜸〹挶㔴捣户ㄳㅣ㑢㥣㜶㔰㡥㘵戹㈳挸㈹㥦㌲㐹㘰戰㥣ㄸ戸㐴昲攲㘴愱搶搳㙣昵改㘳㘶扦っ挳昳㍡〷搲敥ㅢ㜲慦挹㑢搳扥ㄴ㕢㌶㠵挸㘴㡥㘱晦愱㌶㤰摡〴㜰戱㤶搲扢戵ㄴ㡦〱㠸㤶㕡㐰㈱㕢〶㐸挹愷㜵㈶㜶ㄹ〵搸㔵〲㔶昳愸㕦㥦㥦慤㘰ㄵ㐱挵㌸〲摦敦㍥㤶㥢晥搸㌴㌱㐱㉢㍢㤱㐵ㄴ㘴换㐲〴㌳戶㠲扤㠴㐲㝣㘵㈷㔱摡㜶㄰㡡㉦㈹扡㉡摤愶〴㍢敢㌲挲㔶㜰㑦㝡つ㥣昷㠰㥤挹㠹挱昰昶ㄲ㡤㙤愸㘴收㔴搵㠲㐲ㄱ㡥慡㘲戳搱㜰昴〸㌶换㍢㠸扤㈸㔲㝥晣㌶㠸捦㈷㕡㕤摦摥昹㠴㌶捥ㅢ挲〴昹〷晦敢敥ㄴ挱挶㕢㈹㌱搰戰摢慡㤵㔷〷挲㉦愳〹㈷㥤搱㡣㔶㔱敥㌵㘶愶㘳挹ㅡ攸㤶㉣收慣㐵戲慥戰㌵㤳搷㙤昶晦〹㈰戶戴晦ㅡ㌳㙥㐲戲㡦㐶〵摥㘴㤹㌵搹㌲㔱挳ㄵ㐱㍣ㅢ㈹ㅢ搹づㅢ㔲㘴愲㕢㤵ㄶ昰戹慡㝡㉣ㅡㅣ搱慥挱捥〳ㄱ捤戶昴㙤㠷㝢㉡㐰㘶㠴戲㝦ちㄵ搴戳㍤〷摤扤愷捤㍤〵昴扥㜳㑥挵慦〷㜵㍢ㅣ㕦㐰慡㜷㥣㕦㥢搹昰㜹愶戴㍦改㔴㙡昷㘰㈵㐶㍥㡥㌶攷㉦㐰㘱㥦户挲㌷㉢〳挹㝣挲昶昲ㄷ晣昲愸㤴㐸㉡搱㍡〴户搹㡦㌷捣ㅡ㍥㔶扤㠰〸㘷㐸搴㡥㌰㜶㉡捥摣㜹㉥㠳㑢㠷㤳㔹㡦㈱ち㘴搵捡㐸㠹挹ㄴ㥥晣ㄸ搷戵㜳つ摡敢㐶㜳ぢ㔸戳扦㐸㕢㈱晢挷愰改昶摥搲捥㌲㝣㈷扦㐱㉥ㄸ㔷〹戱㡤晥㌰㝥户ㅦ㤶㘵㙦㘳攰昳攸ㄳ㙥㠶扦㈶㙡〸㥡㙤㥤昳㉥㘸㡦愰㉤摢ㅢ㘶㔴攰㡤挶戸ㅥ挵㔰晢㐳㑣㠹捣㡦㜲㈶㔷〱攸捤搱㉦㙤挶搱ㅡ攳㍡搲扦挵ㅥ愲㍦㡤攱〲挱㐲ㄸ㕡㔸敥㑥〵扢㤲挴㜲㘳㐲ㅥ㉥㘸扦㠷㌷㜰㡤搵㕡㌹挴㘱愳㈲ㅢ㄰㤴㡤愷〱攲㑢攳〶㐴㘶昰摢㘸搰㥣㐱つ搸摥㌳昸晣愶㌳愰敢㈰愳昲攲捥昱㕢㡡㑤㡦㔱挷㥤戱㐶㜰㥤挰攷挳搸〲㡤㔲愹㔲㔳攵㔴㍡攲㤵ㄳ㈸攳晡愷攸昷戵ㄳ摦㝤㤵搷㝦㥣搰㐴㡤攲㤱ㄱ㐸つ〵㌴慡㔱㤹挵ぢ挹㔹㌴㠰敤㍤㡢捦㙣㌶㡢ㄲ㌵㙣〹㝦挶つ㠰攲愸㜶ㄵ㍦㌲慢㥢㔱㠱㌷㈵㤳〰㝦挶〶㐰㜱戴㐴愲㌱㑥㘳㍣㐳昰〹㠲㘷〹㝥㠹攰㤷〹㥥〳㈸敡㈵搲㔱㉡㍥㑦攴㈷〹㝥㠵攰㔷〹㍥㐵昰㙢〰愸㐸搲㑡挵㕦㈷昲㌷〸㝥㤳攰搳〴㥦㈱昸㉣㐰㔱搷㐸㕥ㄹ攰ぢ㔱㐱〶㐸ㅡ㜳㠰挵㔲㠹攴㔰挵㉣㘹㤰昲ㅤ㤲㌸㜶㍣户挹ㄷ攷㔴散㌸愷捣㜹摥㡤㠲挶㍢㐲愹㐵攱晥㥥戶㈸搷攷㠱〴㉤攸攴㠹㐳㔸摢㈶㑦㑡㉥㐶㕢挳攲㜰㈱㌵扦戳昲㜵㈱〴ㅥ㤱㜱㔵㘵昲扡㔴扥摥㔹昹攵㘶攵搷攲捡㤴〹愹扣搶㔹昹㐹㔴㡥㐵㐰昵㕣㈲晦㐷㘴㈵慢愶昸敢戲㠳㐹㝣㔷㍥㡡敡㔹㥢㍥挰戰慤搰搴晥㤲昴慥㠹ㄷ㌰㠲㘳㉣㍥扥散㍥㡢㔳㔹㌸扣〲㐳愱晥〷て㜳㌸慤㌵㙢㠶㈶㍥摣㕥㐷㥡摣㌷攴㡥㡤㜳昶〵ㅦ㠸㈱㝢㉥挰扥戰扡愳戸〵㉥捤愰㡥㈹㐷㑣愳昷攴㥡ㄴ昷户戵ㅥ㜱㝡㑦攷改㤷晥っ愰愴㠴〶㌵慦㐹攴攷㕢㠱㐸攳昳ㄸ㈷㤴戵㡣ㄷ㠶敥户㔰㔰㈹愴㝤㐴㤵愸㠵愸㈸㡤摦〱㈸づ㘸搴㍦㈴㝦敥㜷〱㐶攳晦慢挶昸扡㠴㝡㜴㙤㌵㝥挷扦㍦㜰㔰㙣ㄳ戲㔶ㄹ攳㐵㌶昸〲挰〰攲捣㥡㕡ㅢ扣敢昷㠱㐹扣㉢㑢㕤昶愱摥慥㌴㜷捡昱㤷晥挸㝦戶㝤搲㝦ㄲ㥦攸㙦戰攳〱晣ㅦ㑡戲攲昷て敡扦搸㕦㕦攴慦㉣扡㤲扦ち㈶昴〶晡攱扡戶㕣㔰昶㈸㌶㔲愳挶收㜴戵㘵昴捦㜷搰愳㉦㘸搴攱㠲㌶㈳昴㝥㐱㔳慢ぢ晡㙡㠴㍥㈰㘸敡㜹㐱㉦㐵攸晢〴㑤捤㉦攸㡦㐷攸晢〵晤㝣㡣晥㔸㠴㔶㈳昹㘴㡣㝥㉡㐲慢㤱搰㐸㐸㈷㑦㐶㘸㌵ㄲ㥡つ㐱㝦㌴㐲慢㤱搰㤰〸晡㠹〸慤㐶㐲搳㈲攸㡦㐴㘸㌵ㄲ㕡ㄸ㐱㕦㠹搰㙡㈴戴㌹㠲扥ㅣ愱搵㐸㘸㠵〴㝤㈹㐲慢㤱搰㉥〹㝡㌱㐲慢㤱搰㔲〹㝡㈱㐲慢㤱搰㜶〹晡㘲㠴㤶㤱㤴㘸挲㠴扢扦㡣㐲㜱㈰㑢㘱搸戶㔴㤲戶晤㜹㜷挶㥦愳愹㐶㔱㘳ㅦ挶㕦㐴〵摥㘸㤴㌳ㄹ改昹㘸愴㜴㐹㡣扦攲㈳㡡ㄱ㐷㘸晣㌵敦㈸㍤搲晣㉢㔱㐱㥡㜳㈲搲晣搱㘴昳慦戱㡡扣ㄴ〵攳敢〰昱㔵攲换㘵〹㕥㐱愱㌸㌰捡㌷㕤挱㥦㝥㔳慢㕣慤㕥扤晡搳搱挱昱㍢〷㍦昲挸挸㡢慦晤晤㡦㍦昷扤愷㡥晦摢捦㕥㝡改㝢晦昲戹㔷㝦昶慤攵攳摦㜹昹攵㙦㍦晡㐷慦晥㜸慦晤㐵晤慢㍦㍤晢挵㘷㈷慦㍤㝢摤扥昴晥搳捦㍥昱昴攳㤳昳户㑤っっっつ扤㙦散敦敥戸慦昴晣昵慦㙢㝦晢㠳〳㥥㈶㠳挷ぢ㡣㙦〰挴㔷㠹㤳㤰㘱㝣ㄳ〵っ㠳㈳㝥㉢㠷㔱攲㈲㈸㜳愶㜱收戲㘶戳搱㥡㑤〳㤱搷㌲愵㜸㠴ㅡ〷㈵㌵㘶摡㙢っ晦て㥥㌸㌰㜲</t>
  </si>
  <si>
    <t>㜸〱敤㔸㙦㙣ㅣ㐷ㄵ扦扤㍦㝢户㘷㕦扣愱㉤ㄴ㔲攰慡扡㡤ㅡ愷㤷㍢摦昹㝣㤷挶ㄴ晢散㈴㈶晥ㄷ摢㜱ㄵ㑡㔸昶捦慣㝤挹敥㥤戳扢攷搸搴ㄵ㐵㈹㑤㑢㑢愱㤵㑡ㄱㄲ㝣㐳〲ㄵㄵ昱愵〸㔵㉡敡㐷㔰㈰㠰晡つ愹㉡捡〷㠴㠴㐴挵㠷㠲㐴㔱㜸扦搹摢扢昳昹㑦摡㉡ㄲ㐲㌰搲扤㥢㜹昳收捤散扣昷㝥昳㘶㐲㐲㈸ㄴ扡㐱〵晦㈸㔱㔴敥㕡搸㜰㍤㘶㘷㉡㜵换㘲扡㔷慤搷摣捣愸攳愸ㅢ㔳㔵搷㡢㤰㠰愸㔴愹摦㡤㈹㙥昵换㉣愱慣㌱挷㈵愱㔸㈸㤴㐸㐸㘱敡て㝥㜲㔰㤱㌰㑡㡡ㄲ改㈵愹搰㘲㘵㙣㔶㍢㑦慡ㄷ扣扡挳づ愷㤷㝣〵㈳戹㕣㈶㤷挹㤷换愵㑣昶㜰扡搲戰扣㠶挳㐶㙡慣攱㌹慡㜵㌸㍤搷搰慣慡㝥㡡㙤㉣搶㉦戰摡〸搳戲㜹㑤㉤㤴㜲㠵愱㈱㤳挶昴㡡愴㜹㘶戶㌲㤶㤹㘱摥㉤搲ㄹ挳扡㡦㡣㌳扤㡡て㘴捣愹搶㤶㌳㌴挳㤶昵㘷㘶㔷扤捣散㠲晦㐵搵㌵ㄶ挷㘷㉡㜳づ㌳㤹挳㙡㍡㜳昷㈹ㄳ敢㍡戳㉡捣戲收㤹改昶㈸㈷㥣㝡㘳㜵戲㘶戰昵愸戲愴㍡〹攵㐴愳㙡㑣慢慢㈹晢㡣换收搵摡㌲㥢㔱㙤ㄶ戳挱づ㐷㐳搱㐸㈸㤲扢搹㈲㉡㘳挳㤹㉤搳㘰愳ㄳ改慥㘱搸ㅥ㕡敥㈹收搴㤸㤵愱㈵㘳搳㜶戲昷㐹搵㕤昱㔴捤㘲㐲㑦搳ㅢ戰ㄸ攸㑣㑡昸㐰ㄴ㈹〱㈲ㄱㄱ愲敦㤲ㄳ㜵㑡昶㄰㌷慣愸㘱㐵ぢ㉢㝡㔸㌱挲ちぢ㉢㘶㔸㔹づ㉢㉢㘱愵ㅡ㔶捥㠷㤵ぢ㈴ㄳ㤴㐴㍣ㅥ㙥㤶慢㡢㤷㍦晦摥换挲搴㑢て扥昵慢敦晥晡昴晤㌱昸㑤戶敢㐳㜶㌱㐲㠵㝣㤵扣愵㕡昳晥㝢慣㐰㙢晥㌰㔶挰づ愳㐸扤㈰㈹㈲㠲昰㌷戲〲㉣戱㜰戲㜶昹戵昳㙢戳捦㐵敥㕢㝥㈳晤昶㥤㌱散挶〷㜷㈱㠴慦挴扤㤰愲捥㡤搹挷敢㡥ㅢ㠹散改㉥㝢㜶挲㝤愴㍥㄰㤹㐸っ敥㜳㔳〷晤㈸〹〹慡愰挵㙤昲摢改㘵㈷㘶晢戱㌱捥㕣㕤戲㈹㝡㜸ㅣ㠹㔴戳ㅡ慣搷愶捤昴搸扡㌷慥㝡㙡摣㥥㔳㈹〰扤㝤㌴㤰攴〶㥡ち㝡㠳㈶昴戴ㅡ㔰㈷〷㍤㠱搶㔴㥢㐱捡㙦ぢ㕡ㅤ㜳戴㜴晢㔳㐹㝣ㅥ㈸昶㙢搰㥡攲扣㐰㘵戲搹㈲㝤㌲慦㜶㈸敢攱っ㕦㔳㌴ㅡㄵ〸㡢㈳挱㥦摦戸扦㉢ち戶㠵㌳攰㝡㡤ㅤ㙦㜰㡦ㅡ㜸㝦搲㡢ㅢ慢捣㠵〷摥戳户㍣摦㝥挸㈵挴㍤慤摣扦㤳ㅡ㕤㍢攳㔵㉤㌷㐳㥦挸搱敦㍦㌱摦慤㕡㌷搶㥥㡣晤㤵攲散㠳散㌰㑥搶昸ㅡ扣㔴㔱㘸ぢ愹〵㑥㔲晣〸搱㥥㡥攳㐳扣㡤ㄸ晣㔰挶㍦㡡㜴㍢㤱㘴㔲㠲愴㠴㕥㥡昹〶晤昱攲㜷敥搵ㄷ〵㐲敦㘹㌱愰㐳㜲慡慥ㅡ挷㔵㥤㑥攴㜸昳㍣㑥㔴敡昶㉡㠵㤰㈳攳㌴愸搴つ㌶攷搴搷慡〶㜳ㄲ㘰㉣搰攱ㅦ〵㌰㠸㍣昶㕣昲搶㐸㈸ㄶ敢㐹散㌴搷㘴愰慢㝦㠷攴㘲㜲㥢晥扦㥣㉥㍤〴㐸㑢㈶㜹收㜰㠰慡搲㕤㐴〴愰ㅥ㤶㉢㝤ㄲ攴㔳㐴㘲挰扦扤㘱㠴㘲散㘳㈴㤴㈴㜴㘰愶㠹㉣㈶㘹㑦挰ㄴ㉡扥搶㥥㕦㜱改ぢ晥挷〰㈶㐲㜹挵づ〸戳㤳敤㕡戹挰挱㥤㈲扢㤵㑤戴㜶㤴㠳㠹昸㝦㌴搹㤲㌵㜲愸摥〹〵㠱〴搲愷攱挸㙦㔳㔸扦摦㉤摥㡥㈶愴愱㔵㤲攲摤㔴敦㥢㕤㈰捦㙦收㐳㐷〷㡦㙥挷㡥㝢㐸㡡㠰〵挲扢㜴敥搵㈷㈰㐲〱㉥㠸㔶挴㘳㌳㕡て㠱㍤㐰㐴攰㘷㝤㔳㠰愳㥤ㅦ捥㠷㈱昰〰〴㤰〷〴ㅡ㍡〴㌲㘰ㅦ㠱〰愰㉦㄰㔸愷㝡㌲戹ㅦ㥣㉣㐸㡥㠸っ㘸挰挸〴戲㠹㤰捣㐱㠲㉡搲㈰ㄱ㠱㠳〴㔵戰㐰㥥扢㈶㌹㜶攴㈱㔰㠰〰〰㈴㔰摦㈱㌰〴㜶ㄱ〲㌰㑣㈰㐰搵攰ㄳ㠷挱㉥ㄱㄱ戰㠵㠱挰㈵㉥〰愸㤱捡㈰㐷㠹挸搸つ㈴㔲㠹㐴挷㌲戱㍢㍣扢㝡㤰㉡搲㌱㈲㌲㌶〵ㄲ攲〸㤱㝢㉢㘳㤵㜹㈵㍦㘸攸戹㈱㔳捦づ敡㕡㐱ㅦ㉥愹愶㍡㕣捥ㄹ㐵㤳㤵㡢㝡㔱捦捡㝣て㐹㕣晡っㄱㄹ扢〶つ搲㐳㘸昱敤㐳㡢昷㘱挳昰㠱攲㈸㤱㔴㘵㑣愱㘴㘶搴㔸㕢昰㔴㑦ㅣ㈳㔶㕣㤹戸㐸攸扥㉡㔶愸戱捦敦㕦㘰ㄷㅢ戸挰㠸攳敤㌱㜴挵戰ㅡ〶ㄳ㈷㠸戵ㅦ㘲晣ㅥ㌷㘹㔰㥥㔵昵㌶㘴㤸㠴㑦㜳㥣㉡搱㘹愶搶挴ㄳ㔴晢摣愳㥢昳昵扡户㐹〹㈴搳㔵搷㜳㌷㘹㉥愳愱㝢改㈹戵㔱搳㔷搲㙢㔹愷㤸㔹户㕣㝢㌳㠰㤸昴愲挳搸收挴晡慡㑡昷㈴㈳㍤㌳户㤴㤹㥥ㄸ㥤㜹捣户㌳敤愵㜴㤲ㄴ挷㘱㘶晥搱搸捤㐸攷つ㐴昸ㄹ㠵ㄳ㤲攱ㅢㅦ晦挵搵㔴摦搲搸㑦㥦摥㝦晤㌷㍤㘷㝥㈰扣摡散㜸攳慤ㅦ扥昶攲搵㝦㑤㝦晤晣㘷て晤㙥昲晡ㄵㄹ㝥㠱换㠶㜸㡡㠸㙦〲戳㔰ㄸ㌴つ戳㘸敡戹㈲搵㌴慤㍣㥣㉦㤶昳㈵㌵㔷搲挸ㄶ㔹㜱慡㈵㕡挸攷搸愰㍡㔴搲换㈵愳挰攸㙥㍡㤸㌵戲㐵㌳愷㤶㤸㤹换㙢挳攲㜴㕢㔴搷㠶ぢ㕡戶㔰㉡㘷捤〲愳晦㘱㐳㉦ㄷ㜲㌴挹㘰戹慣搳㡥捦戴㐴戳㘶搱愰〵愸㘶捥㈸ㄵ㡡愵扣㔶ㅥ㌴㡡攵㕣㘹愸㘰㤶㑤捤㈸挹昰㘳㉣㕡㥡〵㤹〳㌹つ㌲㑦㐴㠶㈳昳捥〵戰ㄶ㐱捥㠰㉣ㄱ㤱攱攰扣㤳て㠲扣慦〳挳㘵㜸㌸㡡っ㉦㐷㤱攱搲〸㌲昱ㄱ㈲㈹〵㜰㡦搴㤱㝢捤ㄷ㠸搵敤㌵攷㈰收㝢㔲攰㌵㕦㈴㔶㥦捦㈲㘴㌲慡㜸㕢㄰ㄵ㘲㙥㜷㈵昱㑢敤攱㤴㍢搸攴㘰愲㑡慣㤶愳㙡搴挰㤴攳㔵㜷搵㔲㌷㤰㜴换〸㌸㉣㔱搲㔱攱㠸㐰㥥㈲ㅡ搴ちㅦㅢ㤱ㄸ晤㈷㐵㤳攸〳〷ㅦ搹捤〳捦㐱攷攸攲愸㜲昰敥晥戱晥㕣㌶㥢㉤㠸换㌴㈴㝦㤶愹㑥㍡㤷㑤㉦㌶㥣㥡㑡㌷昸㥡㤱㍥㌶㤲捥㘶㠶㠷づ㔱摥㔴戵攸㙢㤸㥢扥㉦㍤㜱戱㔱㕤捤愴捦㤲㜰ㅣ攱扤㡢㝢㝥愷改㠵慦搷晥㍣昹捡搹㔴攵㕢㍦㌷㐶收搹㍦摥ㄴ㕥㙡㜶ㅣ昹扥晣慥昵摢㤷挷㝥搴㤳扡昶收戵㍦晥㈹づ㤸搸㐵搹户㥢㘳㍥昱㑦攳昷慦扦昲昰愹㔷慦扦㜳攵挷㝦㝦昲㜱攱挵㕤㤴挵㠰ち㌷扤㔴㜷㍦㉡攰慣扡挳㥥㜴改ㄹ㠳㥥㙣ㄶ敢愳慤挷㡡晤㤴㐱㌵ㄸ昱〷㠲晢攲扤㙤捥愸收搶慤㠶㠷㙥㍥㙣搶㘹㡤愳摢㔱㌰㡥挰攱㡥㜶慢攳㕥㜴愰捤㥤慣戹捣昱㤸ㄱ㘸㜴改搲ㅢつ㐷㠴愱〰㌶㙥昲㐶攳摦〴㠳㤷ㄸ㈰搵㠱ㅤ昲搱戱慡挷摦扢搰㉦㐸挰㘳搱㈶㈲㡤昴㡦㜲㠷挸挵㕥愰㙤晤㜰㜳〲愰摢搷〰捣㠰㤲㤴敡㐴〵〰㌷㔴㠳搵扢㑡㠴戲㠶昱扡㑤敦ㄹ户敡㐱ぢ愰搹㝤㙢攱㙦㈹晥㌴慤㤷慤〰搱戱挰㕥㝢㔶搷〰挷㠸戱〴㙦㔰摣愷散㠷敢捥〵慤㕥扦〰昶㍥摥㜲㔷ㄸ昳昰㔰搴㘳晢〷〳敡㠲㈰㐴戶㈰㜳㈷㑡攳㈳挵㡢㐴㔲愳㤶㤵づ㌴扡愲㐳慣〸摥愷攸㕡ㄱ扡㜳㝢慣收㜱㕡慣ぢ捦㌶摤晢昹㑢攷㈲㈷晥㜰㙤昶改愱㥦扣昷换敦摤晥㡥昰㑣戳愳晢㌱㐹〰㑡挲昷〵〹㈰㉦攲挸㈶扢㌶〳㕤㜸㡡㠶挱〰戰㔲㔲摡㠰ㅣ挰搱ㅦ〰愸ㄷㅦ㈵㐲〳挶㝤㘴㄰㥥㘸づ㠸㄰㍢㈹㍤㐶㔴〰㝣晡〳〰昸攲㔷㠸戴㍣愷㈰㍣摥ㅣ㐰㕣ㅡ昰㔵愲〲㤰搷ㅦ〰搸ㄷ㉦ㄳ愱〱㤵收っ㥢捤〱㌸攰㤲搲搷㠸ち〰㜳慣ㄲ㤳ち〰㜵㌴搰㉦〰摣㠳昵ぢ〰㜹㌴攸㉦ㄴ〳㈲收扢愲㘴敢昳〱㐵摣㐰㍢㕦っ攰㝤慢扦〲〰挰ㄱㄸㄱ昸㤲昸㈴㤱㉥摢㕤㈱㔶㠴㌴㠹㑦㔱㘵〷摢昹㈷扤㜰㠹㤶㠶昳㜹㥢敤搶㥡ㅤ摤慦㔸㔱挴挸㕥昱㡡晤㠸摢㡡㡡户敡㠴慤㔸慣戶散慤戴摥愷㈹昵㑢搰〳昵㌳㈴㠴扤㐲ㄱ㘰㘱㘸㤵㥥㈵搲攲挲㡣㥣晢㡤㑥㉥㙣挵戹捦㜵㜲㘱㄰捥晤㘶〷户て㤳㘰㥦昸ㄱ搴〷攵敤ㄶ㤴戶㕢㔰搶㙥㐱㐹慢搵昳㙦改㍤㥥〷</t>
  </si>
  <si>
    <t>㜸〱捤㔸㝢㜰ㄳ挷ㄹ搷㥥ㅥ㤶㘴㌹搸㘰ㅥ㈶㘰っ㜵〳挴㈰摢㌱收㘵㕥㤶攴㠷㡡㙤ㄹ㙣散㍦ㅡ慡㥥愵㤵㜵㔸㜷攷摣㥤㙣㉢愴㈹㑤〸㠴搷っ㠴㌲㈴㌳㐰搳〹慦㤴㌴㠱㘴摡㤰搰搶搳㑥愷愵㉤㉤敤㑣㐳搳㤲㘹挲搰っ㑣ぢ㠵㘹㔳㘷㌲㈴㐳扦㙦敦㙣㘴晢搴〰㈵㌳ㅣ攸昳敥㝥晢晤㜶昷扢敦戵㘷㈱ㄶ㡢攵㈶㍣昸ㄷㅦㅢ㌶愶戴愴㔴㡤㡡㕥扦㥣㐸搰㠸㈶挸㤲敡慤㔶ㄴ㍥搵㈰愸㥡ㄵ㈶㌸挲〲昰㔵㝢㔸ㄵㅥ愷捥㜰て㔵㔴㤸㘴户㔸㥣㑥ㄷ〷㝣〴挱㕦敥㘰挷㠵㔲ㅥㅢ㤰㔶扦㉦搴戱づ㔰㕢㌴㔹愱㜳㡡摡㜴搹愵攵攵摥㜲㙦挵愲㐵ぢ扤㘵㜳㡡晣挹㠴㤶㔴攸㔲㠹㈶㌵㠵㑦捣㈹㙡㑥㜶㈴㠴挸㑡㥡㙡㤵扢愸戴㤴㜶㤴㔵㜴昰昳ㄶ㤶捦慢慣㡣㠱㡣〷㤶戶㌴晢㝤昵㌴搱つ㜸昷ち搵〱愸㑤㝥㕦戳㐲㘳昷ち搳㡥㡡㈸て搰㠸㠰ㅡ愳㔴ㄱ愴㑥慦摦〷晦搳戴〲扤〵摥㔰㑢ぢ㤵㔴㐱ㄳ㝡〴㉤㠵攷㜳㠹愱㐸㐷ㅢ㥦㐸㔲㠷挸戶攴ㄴ摢㜸愵㠹ㄷ㘹㡥戸㐶愵慢㜹愹㤳㘲捦㉥搶㈵㠵愸つ摥愴㜵戶搹㐲㠶㤲扣㈱扦捦ㅦ攷ㄵ㡤㐱攲〲愵㘶戳搹㑡摥戴慤㌰ㄹ㌶㡡敡㈱搹㠶慤戰㌵㜱㤷㔹㐸㥣㐰ㅣ㉥㈰攳搲㈴㡢㤸㘸㔱㌹戱つ㠰挵愵ぢ㘶挳㑣㉥捣㜳攱づ㉥ㅣ攱挲㔱㉥㑣戹㜰㡣ぢ㜷㜲攱㌸ㄷㄶ戸昰㍡㉥摣〵㜳〶ㅦ㘷㔶ㄶ㘷㍣扢㘷攴㙣晡昵摡戹挱ㅤ晢㤲㕦㥢搹㜴慣摦㠳㔸㑤㜰㌶㙦ㄳ搵敥㤱㈱搸昱㑣户慦㑢て捣戶㡢晡慢〸㔰㌵攲挲昷ㄴ㤴愲戴捦〱㉤㜸㝦ㅥ搱㉦㑢ㅡ敤搳〲扣挶㘷㠹捤扣㐲㈵捤〵㤳㑡㤸㤴摥㐲挹ㅣ㌶㌶㈸敤㌶㝡㠰㤰换㥡㘹㈸搹㙣㐰㐷㈲攰㝡㔶㥢㑥㥤づ㌳㘷慥攷搵戸挶㜷㈴㘸昱㠸㔷㡥㝡〳㉢㕢愳〹〹搵ぢ㤰㜵㡡㥣散㐶㡤摥㉢ㅣ㘶挸㘸ㄸ㡥ㅣ㈰㉣昴攰㕦㔸㘰㠵敢〱昸攳㜶㈱搳㠵㑣っ㑢昰〷㥥㐱㥥㘷㉣㜴㘰㡢〱㔹攴〵改ㅥ扤㕣捦㌸〰㕤㘵㔸㜱㐰攱㝢挱㈳㙦㐱㍦攲㉤挳㝦㥦ㅦ㤲㈰㈲挵㉡㘳ぢ㘲攵攵搱捡㌲扥㠲户愳ぢ摣愹㐷攵㠳㡣㐷㙣ㄷ愴愸摣换㕣㙣慣〸晥挳摣愶㌵搵㑤搹㤰㈷搶捡㉢㥤ㄴ摣㔶〹〶昲㘳㝥㔹㔱㘸㠲搷㘸㤴つ㘰㠴㥥㌸㝣㔰慤㔵㘴ㄱ挷愷昸㜸㤵摥㜲摦㤲㤸扥㤰㑦㑥㑡㔱昵㐱㜳㘶㡢〶搰㤳㐷昲㙥㠱㡣ㄲ㙢㠱㤰㐶㔵戶搳挲㤱㘲捣昸慢晢〴㥤㍤㜵〴ㅢ㠲㥡摣㤱㤹㕢慢搰挷㠶戸愳㜶㔴つ㘹慡㠷㈲㝦搴㈹㜵㤶扥㉦〸㐱戲㑡㈵戶扤ㄲ戱㔹㠸㜴㔱愵㠵㘲㤲愳㔱㜶搴昱挸愲攰㡦ㄱ慡㤶㠴㔰昵㄰㔵愳㌳搲㐷㘳㌵㝤ㅡ〵㙦㡥挲㝥㈱摢㘸愹㔶昴愴〹挳愶攸㙢〲愳㘰搸㜰慤ㅣ㐹慡攸戵㡡㥣ㄸ捥愹㡥昶昰戰㘶戴㔱㡥㔲㥢㡤戳㕡㙣ㄶㅢ㍥㤰㐶慤㔶㜰攵戲ㄱ㡥捡㔲〶㘲慢改戱㌹捤㜲㌰㌸㔷摣㤶搰㜰昳㐲㌹戳㤰㌱㤴晦挹愴攱扥攲㕤つ摡〳㉤㈵㈸㍡ㄲ㌷㌲愲愴㙤昴㤶搵攰㈲愶昱㔴㍦㔱㥡捥搰㙥㜱昶慣捣㐷㘱戰㐳㤶昱挵㑥收戸㜱挶改㙢㝡㈰㘶搷昳㔲㌴㐱㤵晦慤㉦摣㤱ぢ㍤摢㌵ㅥ挹〴㈴ㄳ㠱㔸散㤷㈱挲㘵搴㈶ㄶ㑢愴㡦愴散扤㐲㔴㡢㍢攲㔴攸㡣㙢㈸收㠴〷㔵㥤㠲㕦㉦晣攲㔰㘴㡤挵戲挲㔵㠰㘴㌲㄰户摢慤挷㔰㠷摢㌵〵晡㡥愹㐸㜴敢㜰ㄳㅢ〶㕡戳㍤て愵〵捣㜷敥〶㤹㡦搶昲ㄱ㈸搳戲㡣㈲捤改㤷挵㙥㐸㔶㑡㉥捥昴㠳愹㠲ぢ昴〸㔱慡㌸㜱愰〵㡡㐱ㅢ搴㘸慡㠳㌹扡ち㔹挸㙡戱摢戳㥤㘶㙢〵〷戱㡡つ㠵愶ㄷ㥢挱㔱昸㔷㔶㉤㕣㡥挵愴摢捤㑥㕡〸㑤搷㌴㈰㜶㔴散ㅤ㍢挷ㄸ㄰㥡㈰戶挴攵摥㝡搰㉡㔵昵ㅡ㐸昵㉢㠲㌶㜱昴㌰㘴㔵㕥㉣㘰攳㜵ち㠵㜸愸戴㐲㔸㘰㘷㐴㠹挹愶ㅣ㈶㌴㤹搹㘶㥡㔷㤶挴摡〴摡㡢戱㝣摡㘸ㄶㄴ㜱晥愴慡挹慣〸㈸ㅣ捤て挸㑤戲ㄶ㄰搴敥〴㥦㉡㌶㘱敢㥣昶㌸㤵㈰㤴㈹㄰搱㍥㙦㤲摣摤㑤愳㈶㝢㙣㤱㤳㑡㠴〶〳昷㐳㌰㠴㌷愵㍦㠴挵㐱攲㈴づ㡥挰㜳㜷㝥㐸搰㐵㉣敢昳㕦慤扢昰昸挶攵づ㠸慥〴㝣〵扣挵㡥扥㜹㌷昱ㄲ换㤵㥣㘱㔹㝡㍣㔶攳㡤㜰㠳ㄱ扡ㄳ搴挷㉢㘰搸戲愲扡挴挱愶㙥㜸㘹㜵戱敥㉤昷㠳戲㈱改攸改挶㥢㌹摣愶㙤㥣搹㈰ㅡ㌳㠶㌸㤲㍦㈲㉦戰㜳㘳愰扡换㜷㘵晦〰挲攳ㅤ㙥〴㉦㥤㔹㍤㔸㘳㠷挳㔰戳㐲てㅦ㘲㝦ㅦ愰㑣昷㠷㔱搶㈶攱慤㠹㐹戹扢㈴戹㔷㘲㍢户慢㔸晡㈰愰㉢㉢ぢ㡦攱㠶ㅦ㝢㉡〷捤挶㘲挷㘰㕥㘲愶㉢扤㐴ㅤ扡搶〵愳㤰㉤㡣㝢㥣〷敦㜱慤ち㘵㤷㌵㈷敢㠰ち㜳挴㜶㔹改敡㤰攵㉥扣㌸㍣挰㝡㙡㥣㔲つ㉦㔶搹愲㝥㍢挴㌶搸扥搵㍡散昲㘴攸ㅤ㤹㔸㈰戳攲搹昱㈵㘸㔹㙢㤵〸敢㤱昳㜰㝥扣㜴晤昴慦㐷㑦敤㌹昳㔹攳搶㜵㉢ㅥ晥㐳昰攲㘶昲ㄷ㠳㜱戳愰晦㑣捥㤸㌶摦㠹㉤㜹ㄷ㝦㤷扤收㄰挱っ挵づ㍦ㄳㅡ㜸㑣晣搹搱㝤㙥㉢挳攷挲挴㌱戱愱㠸搶㉡㘸〹㥡ㅤ搳つ〶摢捥ㄸ挴㈸愸扥愲㔹戱搶㌸攸㈲㤰ㄳ慢㔳㠴㘸㐲㤰㈸ㅡㄴ搴戵㜸㌵㙤愰㥤㔰㘹㌵换㜸つ㤶愵㥣㔸慢挲㑢㉡㘶㈰㈹㤲ㅡ㍢慣挷㝣挸ㅥ昳〹㤲ち换戰㈸㡡敤㌱㌱っ昲昰㍥㤳愲㔴挷㜷慢昷㠳㤳㌱戵㠲㝡攰搱㐳ㅡ㐷㌸㡥㌸㌹攷㕤晡㠹挵㌱ぢ愰ち搲晣㜲㜱㔱㑤㕦㌷㤴㈶㌴㕡搴搴摣〶㐵ㄹ挷攲ㅥ昷〸慥愹㠷㍢慣ㄲ㙥扦〲㐳㐳昰戰㡦づ㐶㘹㙣㌵㑢改㐳㈵㈲慢㜸㘶㠳っ挱攲㠳㔹搱挳㐶〳㍢戹㤸扤㌱㤹㍢㑡㠰㍣攰昷㠵搳ち㍥挷ㅣㄸ换㠳㌱摤攲〷ㅤ㈷ㄷ㤳㍤捡戰㑦ぢ㉥㉦戴㜲搱㌲㡢㜰愸ㄴ㐹ㄹ㤲㜲㈴㜸㑣㔷〵㤲㜹㐸㉡㤱捣㐷戲〰挹㐲㈴㡢㤰㉣㐶㔲㠵㘴〹㤲愵㐸㤶㈱㔹㡥㘴〵㤲㙡㈴㍥㈴㝥㈴〱㈰㌹㙥挲㡥㠶晤ㅡ㈰㠳㑦㉥ㅥㄱ挳㠹慢ㄶ㐸㡥㤵攰ㅥ搱㘹ㅣ㜵搸慦㑥㈴㡡〶㍤㕣㜵搴攳搰戰て㌰㡥㈰っ㑤㠲㝡㉡㥡㡣㘸㐵つ㝣㔲㡡挴㡢㝡捡㤴㐵摥扥㠴㉡㤲ㅦㅡ㝥扡慢㜷慤戵敥晣搹搰㤶捡搷㍥晤搵晥晣敢攴〷〶㘳攴㜷㄰㠲㑡挱攵昵㜰搰〸㉤㙢戵㉡敡攱攰㠴㈱㔴㝡㈰㜷㈰昱晢㘳扥㤷戳㜳捥晥昱散㠵㑢攴戸挱㜸昱〳戵散攴㕢晥攰㠱扣昰昴敦㌸摡㐳〴戵㍢㠴收㐲㌴ㅤ改晢㤹㤰㕥㌱ㄸ㜶㙦㐰ㄱ愷㝥搴㜴昲㕦㔵㤷昶敤戳㉤㈳昸㡡捣㤰㕥捥㠴㜴搴㘰散㜹攳ㅦ敥愶敤㌳晤捦挹挵扣ㄶ晡攴敦〴摦戳ㄹ搲愱㑣㐸〷つ挶挵㜳㑦㉦昱㥣㘹つ㥥扡晣㜴敥戱㠹㑦㍣㐷搰㔸捣㤰扥㙢〸㡣ち㥢㉦ㅡ㡣㤷㥥晣捡㔲攵ㄷ扢敢昶慥㍡㤳㝢挴㤶扤㡣愰挵㤹㈱敤捦㠴戴捦㘰ㄴ㕦㤹㥥㍣昷㥢㡦㙢㌷摥愸扤昶搴愳㈴㡦愰搹㥡㈱扤㤰〹改㜹㠳㔱ㄸ慢㈱㥢ㅦ摣㔹扤㝢㕦㔳㘳搳昷晡昳挹晣っ㐸㝢㌲㈱㝤摢㘰晣晢㍦扥〹㜵㝢㑦〷㌷㍥㍢慢㜴晤㘲捦摦〸㍡㤰搹㥥㜶㘵㐲摡㘹㌰摥㝤攸昰挰㤳㌳㕣搵㥢昲㙥捣慤㥤戸昲㥦〴扤搰っ㘹㐷㈶愴敤〶愳攰昴㐰搶摣㤹扥扡㥦㔴摥㜸㘳挷㥡改ㅦㄱ㜴㘵㌳愴㉤㤹㤰㥥㌵ㄸ晢摢㌷㉥搹㝢扥㌲昴愳户敢㥦㝦㙦搹㥡挳〴攳㠱ㄹ搲㌳㤹㤰㌶ㅡ㡣㐹㐷㑢㘲㕢户昵慦晣㜱㘰㐳㜰愰昰愰㑡㌰愸㤸㈱㝤㉢ㄳ搲〶㠳昱晥㔴愲㥤摣搳㔰摢㥦扦晣敡㙦㐳敦戸〹㐶㈶㌳愴㙦㘴㐲㝡挲㘰㥣愸摡戹晥㐲㉡搲昰捡晣慢て㍤攵㍣摤㐹㌰扣㤹㈱愵っ㠱㔱戱愰捦㘰ㄴ㤲晥㉢㝦扥㜶摣扦㉢戶㈴昴攵㑤㈷㍦㈴ㄸ㈳捤㤰㤲㤹昶愴ㄹっ㌱㜵昸晡㥢攳昳㐲愷㍥㌹㜲㙤捣扢㐵慦ㄳっ戴㘶㐸㡦㘵㐲敡㌶ㄸ换搶㙤㥢㍡㘹晢愵搰攱搵〳愷㥡挷摤㍣㐴㔶㘴㐰ㄲ㌳㈱㈵っ㠶㔴㜵昰㥢挷昶扣摡戰敢捡㝢㥢扤攷㕥摦㐶㌰攴㥢敤㐹挸㠴ㄴ㌷ㄸ㥦㑥㌸戰㈱㜰扣㈰㜰昲敡㑢㝦㙡慦扢㍥㡤㘰摥㌰㐳愲㤹㤰愲〶㘳挷昲㠵〵扦晣戸慡收捤㥦㙦㑤晣㙣㕥攳㌶㠲挹挷っ㠹㌷〴㐶扤扢慦ㅢ㡣㘲晥敡挰㌳㝢㍦慣㍦㍡戶㌹㈰㔴㙦ㄶ〹㘶㌰㌳愴戵㤹㤰ㅥ㌵ㄸ慢㑡捦㕦㥥晤捥㤱敡搷づ㌶㙥㉥㍤昴㤶㥡㍢㤸晢散㤸敥慡捣㙡攰㔱ㅦ㜳㑡㐶㝥㌹慢㠱㉦㘱㈹捣敡㔶昸㙣㘰㘷㌵㥣㡤㕢㝣㜷㔸㠳昷㄰㉣㍥散㕦㠵㕤晦ㅦ㌸㔸愵っ扦㐶㘰昹攱㍡㡣搰㐸㐶㕥㈵昰换㐷㉤㥥㘳挴挷㥡散㙣扣㌸戴扥昰昶㡡捦㉡搶㔶㘷晦ㄷ昲攲㔵㠳</t>
  </si>
  <si>
    <t>Start OptQuest from the Crystal Ball ribbon and use the OptQuest Wizard to view the settings for the optimization.  The problem has one constraint and one objective: to maximize the mean of the expanded NPV. The contraint formula limits the Year 10 turnaround investment to a certain percentage of the initial facilities and equipment investment and looks like:  
          Year 10 Turnaround &lt;= 0.75*Facilities &amp; Equip. Yr 1</t>
  </si>
  <si>
    <t>Run the optimization. For each iteration of the optimization, OptQuest selects a new value within the defined range of each decision variable and runs a Crystal Ball simulation. OptQuest saves the mean of the expanded NPV value. OptQuest then runs another simulation on a new set of decision variables. OptQuest repeats this process, constantly searching for the best expanded NPV until it reaches the end of the set running time.</t>
  </si>
  <si>
    <t>㜸〱敤㕤㜹㝣ㅢ搵戵搶戵㉤挵愳搸戱戲〱㘱〹㑥挸〶㈱慥ㅤ敦㠴㤰挵㔹㐸攲㉣挴㘱㙢愱㐶㤶㐶戱ㄲ挹㑡㈵㌹㠹㠱㐲ち㈹㘵㙢愱㜴愱搰戲敦昴戵㘵㘹搹㕢搲搷扥㐲㑢㔸㕢戶㐲㈱㉣〵㕡㤶昲摡戲〶㥡昷㝤㘷㘶愴搱捣挸㜶㕣摥敦攵㡦㌷㤰愳㝢捦㌹昷摣㝢扥㝢攷捥捣戹㜷挶㍥攵昳昹㜶攱攰㉦㡦㌲㈶昶敦攸换㘴昵㘴㑤㕢㉡㤱搰㈳搹㜸慡㈷㔳㌳㉦㥤づ昷戵挷㌳搹㔲㈸〴㍡攳㤰㘷晣㥤㤹昸挹㝡㜹攷㐶㍤㥤㠱㤲摦攷㉢㉦搷㑡㈰て㔹晦慣㡣挶㔲㕡ㄹ〹戴㝣㕡㠰㘴ㄸ㐹㌹㠹㐶ㄲ㈴ㄹ㑥㔲㐱㔲㐹㌲㠲愴㡡㠴㈶戵㤱㈴愳㐰㉡㐶㠳慣㘹㥢扦戲㙢ㅤㅡ搸㤱㑤愵昵㐳慢㡦㌱㥡㌱扢慥慥愶慥愶扥戵戵愵愶昶搰敡戶摥㐴戶㌷慤捦敥搱㝢戳改㜰攲搰敡㔵扤㕤㠹㜸㘴㤹摥户㈶戵㕥敦㤹慤㜷搵搶㜷㠵ㅢ㕡敡ㅡㅡㅢ㘳㈸㔳㌱〶㤶㔷戴捤㕦㤵搶㘳㤹捦捡收㔸摡㕣搹㌶扦㘶㠵㥥晤慣㙣敥〵㥢㌰戹㈰㤵っ挷㝢㍥㈳愳㝥㜶㔳攳〲㍤ㄲ㘷㝦敡㝡㍡摥戳戶〶捤㉥〰ㅡ戹收㥡㜹㤹㑣㙦㜲〳㠷㐶㥢㥥㐸慣搶㘳搲㡦挹〵㤹散慡㜰㍡㤹愹㐸ㄲ㍦㍤慤昷㐴昴捣㠸攴挲捤ㄱ㍤㘱㉡㘶捡㤳挷㠴搳㉢挲㐹扤㡣㠹慡愴搱㠷㑢愲㝡㑦㌶㥥敤慢㑣ㅥ㥤搱㔷㠷㝢搶敡㔴昱㈷ㄷ昷挶愳慡慣っ晦晢㑡愷㝡戵㑣㍡ち敤㐹戶㜵㠷搳㔹挹戱ぢ敢扣㜴㙤挳㐵扣㈸㘸ㄷ㠷㔴戵愳ㄴ晢慣㈳㥥㕣愶愷㝢昴〴㉢㘱㑦㑥㜷㈸〹㐰㐶㍦攴㤰戲摣㘱㉦愹攱收昹㐴㕦㔸㑢㘰㙦㤰扡㌵改㌸摣散㑤㠴搳㠷㉥㡦昷捣㥥㌱戳戱戶戶昶搰昶昸㝡㍤ㄱ搷㌳㔹㌰㤰慦㍤㜴㜹㜸昳散ㄹ㜵㤴㘹晢愰㤸㌶㡥〶昶〵愹㕥ㅥ敥改㡤㠵㈳ㄸ摥攱慥㜸〲搸㔵捦愸㕥㠳㤲攸戴敡戶㔴㈶慢敤㐷晤晤㐱㔴搹㉢㌸挷敤捤攰㜹㔶搲ㄹ㉥改散㉡改㡣㤴㜴㐶㑢㍡昵㤲捥㔸㐹攷摡㤲捥敥㤲捥㜸㐹攷扡㤲捥昵搰戱㡥昲㘱挳㑡捣攳ㅦ敦捤摦㙢昱挵て㉥搹㝡昶戴捦㥤㜲㔸挵慢㡡愷戵捣ち攳㤱㜰扢㈵㕥搸摣ㄲ㕦㑣户㈸搳づ㐴㌱慤ㅡ㈴㌰〱㘴慡㤷㕢慢搲㈹っ愴っ扡㈷ㄳ㕦摢㘳㜸㌷㤱挵づ〲㔱敡㜹㜸㐷て㈷扤㌵愱昷愹㠷㍥㔸戴㜵攷愲扦㥤㜱㠲ㅡ愹㌸搹㐸搳㈶㈳㌱㠴愶㑤㘱ㅤ㔳㐱〲搳㐰愶慥搱㈳摤㍤昱㐸㌸㔱扤㐸て㘷攲㌹搴ㄷ㙥摥㠰㜳㈵㠹ㄱㅣ收㈹愱ㅤ捣㘲㠷㠰㈸昵愴搹戴㈳搶㥤㜷挰㍥攷扦扥昲晡搵敦摦扢㙡昴慥敢ㄴ愷㐰㘹摡愱㐸搴㌸〷㐳㌳㠰戱㡦〵ㄹㅢ㌲ㄴ敡〹搹っ㔶㔰〳ㄲ昸ㅣ挸戴攵攱昴㝡㍤㥢ㅦ〵㠰㉢〶戸搰ㄴ㌴㜵㈵愶攷㙥㍤ㅣ〵㙡㕡㉤换搵㠱㈸昵㠸搹戰㝤㙥㥣ㅥ㍢昷扣晢㤷晤㝣挱㤶㈵敦㡦扦㌶愳㌸㉤㑢挳敡㤱㤸攸㘸㔸㥤慤㔱つ搲㠹捤㕡〳㡤㌶㠲〴㥡愴㠴㈷㐸慢扡挳ㄹ扤扡㕤敦㔹㥢敤搶㥡㔹愲〵㐴愹〷捣㘶㝣㝤㑥换戸〷㍥㤸戵昰捥㕦㥦㥢昸捦㠶攵攷㈹㑥㈸搲㡣挳㤰搸㕤㝣㘶戱㠲挳㐱〲戳㐱㠰㡦晢㑣昱挲㐸㍢㠲攵收㠰㈸戵捤㙣搸昸搸㐲昵戵晤㉥㥣昷慤ㅦ慣㔸扥攲收晢挷㈸㕥慣愴㘱昳㤰ㄸ挲㤸㥡捦㍡摡㐰〲ぢ㐰づ㉡㌶愶散㐳㝤㈱㡢㉣〲㔱敡㙥戳㔹挹扥敢摦扤㜳散挸㤵昷㝥㜴挳摦慡㥥愹扥㑤昱昲㈹捤㍡ㄲ〹㌷㕥ㄸ㐰戶慥㥢㤱ㅦ㑦㥣㜶戴㈵慣㘰㈹㐸㘰ㄹ挸㘴攷㜸敡挸昶㐶晢㜰昲挵攲㍤㜱づ㜰攳〴㙣㘷愱攵㈰㑡摤㘶戶敡挵〳㔴昶慥敦戴㉦扡㝦捣㥣户ㅦ㕥昹㘴㔰㜱㥥㤱㔶慤㐴愲搶㌱㤸㡣㘹捤摥慣㍡㑥〸挶摣挰ㄶ㙡慢㔸挵㔱㈰㠱搵㈰ㄳ扣晡㜱ㅥ挶㜸㕦㈶㥥㌱摡搴挱〲㙢㐰㤴晡愱搹愶㙢㑥㕢㍡㍢晤㥢㙦㉤扥昸愸敤愱ㅢ捡㠶ㅦ愱㜸㝢㈱㙤㍡〶〹㔷〷昲晣㉡㠰捡㤸㤷攵摣㤳ㄹ㔹㍢㤶㜵ㅣ〷ㄲ㌸ㅥ攴〰㈷㔸㠵つ晡㍣㤵扦〰愲搴戵㘶㠳挶㍤昸晥戰ㄹ㔳攷㉦晥㐵攳捥摢扦㝥昴㠴㝦㉡摥敡㐸㠳㑥㐴㘲㡡〳愴摡㥡㐶ㅢ㐲㜵〲㑥㕤㑤愳昶㐵ㅡ敥〴〹㥣〴戲㙦㘱㉢ち捥戶㌰㌵扢㐰㤴扡捣㙣挲慤戳㉥㍣攵愵扥㐸晢㝦㌴扤㍤攵㡣昲〷搷㉡摥㘸㐹ㄳ愲㐸昴㜷搲捦㤴〶搴㙢㍡㡤挶㐰〲㙢㐱挶扢㝢愶愰〹摤搴㡥㠳㈸昵㕤戳〹捦㑣戹晥晤搳㈶㙡昳捥ㅡ戹㜳挶愲扤㤷扤愳㜸㥢㈷㑤攰㜵挷㍤㠰ㅤ扤㤲ㅦ挰㌲㈱㈶㔸㐱ㄲ㈴搰〳㌲慤搸㐹攵㍣改戵ㄴ换㙤〰㔱敡〲戳㘱㍤戳慥㍤晤㠷摦昹㜱晢㌷摦㝡晥㙢㌵㑦摤㜶㥥攲慤愷㌴㉣㡤挴敥㡦攱っ慢挸㠲〴㝡㐱㈶ㄷ㙢摡㙡㍤愳㠷搳㤱㙥㘳ㅣ㙦㘴愱㑤㈰㑡㥤㙤戶敢㤳扤㉥摦戲攰㤶㜱ぢ敥㝡晢㥡愷㡦㕤晣敥㠱㡡㜷挳搲慥㍥㈴㜶扦㕤㈷戳㡡㔳㐰〲愷㠲ㅣ㔴㌸㠰㘶㔴㉦〸㘷挳搵㡢挳搹㙥戹ぢ㌴㕡昵㘵ㄶ㌹つ㐴愹慦㤸慤扡散搸慤㠷㕦晣㕣攳捡晢敥㌹昲㝢捦ㅦ㜱昴昵㝥摥㥥搷㝢摤㈱㌹㙦扥ㄶ攱愶㍤ㄲ捥㘴捤晢㐲㕥㜶㍥摢摢挶㠱敦ㅡㄷ愵㈳晦晢㜷㡤愸攴㌳戹㙢搴戶〰㈱敤㉢㈰㠱㌳㠸ㄵ㙥㍡挲㍤㔱㍤㕡扤㘲搵㌱摡㤹㤴㙤〵㔱敡ㄴ戳㘷㜶㡤扢㝦㝢㘵搵㌱昳㙦㍤㘷攴㉢㡦っ㍦晡扡㡡戳㈰㍥捡扣ㄵ㕤㤰づ㙦挲㝤㘲晥戹㘱㘶㑤㉤晦ㅢ昸㠱〹捦㑢戱挶㔸㜳慣慥㉥摡㔸ㅢ慥て晢㜹㔷㍡搸㍢㜳㥥㑡ㄵ戱㘳攳㍤搱搴㈶戹㔵摦㝦㍥㙥ぢ昲㝤㌰摤㤴捤㑦昵昶㐴㌳晢㜹ぢ㍢㜰㤷愵敦敢㤴攵㡤戸㡡㜵㘰〸敢ㄹ愹㙦扣戳搸㌱攱㐴慦㍥㙦㜳摣㄰ㅦ攰㄰攳㌱㈶搵㔵㕣扡㈸慤㝦㈹㈷㜵戵㘸ㅥㅥ㥤㌷㡡㙤㤷㤷㠶挸㘸㔷㜵㕢㜷㉡愳昷㐸昳愶㈷㔷挵㈳敢昵㜴㠷捥〷㙦㍤㉡慥㡥愵挸㝣㤶㥡扥戲〷㡥攲改㈸㍡搱捥㡤㉤摣㥣搵㌹ㄸ搰㕥摣㡡㘶晢搶㠴扢ㄲ晡㕥〵㉡㐶㥤㄰㡣㉢㘰㉦㑡㐵㝡㌳㙤愹㥥㙣㍡㤵㈸㤴捣㡢㙥っ攳昹㉤扡㍣ㄵ搵昱昸㔵挶挳愷㝣愵愵㑡昹づ昱㍡挳㘹㌷㔳㈳ㅤ㘱敢㘲㍥㡤敤㔳㌸散㙡㔶挳㍢㜸㤱搰㌹㈶㑢㈶つ㘰㑣散搲捣挱挵ㄵ㙤㍥㌱㑡㐱敤㘹挵戵愵㡤戹㥥晢摦㔵㉥㈹ㄹ㙤㝡扦㜰㈳㥥㄰㡥挴㐹㥢搰搳晤挶㔸ㄴ㕢愴㝤つ挴扦ㄹ㘷㜳㔱昴昸攴愵㌶慢㍥晦愶㜸㌴摢ㅤ攸搶攳㙢扢戳攰㈱づ㔳㕥㑥㘸㕤㠷㜶づ㔸摡戹㈴攷㠱〴㠳扥挰昹㔴ち〴戵慦ㅢ㜹㍦ㅦ㌰㜷晦改戹〴愵㌴㜹㕡㐷㘸㈵攳㑦㘲㜶捦㤴㤶㝡㜹㜹㘴㌸搳㡤㘷㤵㠴摥慦㤰捦挹摡㌷㐸㉥〰昱昳㔱㜶挰㠷㜳摥㐱㤴㌱〶㔱㤹挴扤㙡ㄸ㤱ㅦ㌹扢㔵搸㥦㌴㠲〹戸愷㡥㘸㡣㍡㉣挱戹戲㌹㠰ㄴ㑥晥㡡㈴㐷扦扥㌹换㉢摥戰㈴攲ㄷ攸㈵つ㑡搳愵㤴㤱㘲挹㑡攱㔹愵㠳㘶づㄶ㐲㤲戴㔹ㄹ㉥っ挳ㄲ㑥ㅣ㥣㉦扥㔲㤳昶敦〴摡捥㙢㐵挰㌹搰ぢ攳㄰〸㡦㐴ㄷ敢㍤㙢晡㌶攸ㄹ慡㤷〷晡㠵搲㜹㝡搱搸捡㐸搷搱搹㜸㈲㔳㠳㤶㉥㑥愷㝡㌷㝣㤶㜶㘸㑢扢㄰挴㍡晣㈹㡣攲挱晢〴戸㝣挳㌶戲㙦㍡㍢㝤攵戴㐶㑥攰㈲㤰㠱㠳ㅥㅣ捥愸㙤ㄷ㝥攴搰扥㡤㥦愰挶挲㥡户捣捦㄰挹敥〴㜵晣搰慦㐸〲挲㌵㘹㕤挲㔴攵㤲㐱㜷㔴㈶㡦㑤愵搷㜷愵㔲敢㌹攰㐶㐸㉥搳慤敢㔹㠶㝥㠶㥢愱㉥〹㘹㈹㔵㕡㕡㄰㤰戱挵㠸ㄸ㌴ち㝣て愴㜲㕥㈲㔱㙤㔹捣〴㉥〱慢ㄴ㐱愸挰愵㐸散㠳愹㍥摡ㅢ挹㔶户㠷㝢㝢㜰摢戸戱㌶摤㕡戳㌹㤱㐹㉡ㅤ摥㌳ㅡ昲换ㄷ㙥扣昷㍢摢㍦㕤㝥敥扡戹㠷㍣扥攴㤵慦愹愸㈹㜰㐵㜰づ愴㍤晣搳㉥〳㔱㕤㔰攳戴㠳㜴攱愱㕤㠱扣㜶㈵挹㔵㈰㤸㍣〴㔱捣ㅤ搷ㄸ㔹㔵㡤㕦捥ㅦ摡戵㈴搷㠱愸㠹㈰㍣㝢戵敢㐱慣㐳ㅤて晢ㅣㄴ搲戱㌷㠲㍤攸戰㡦慢て㙦㐶改愰㐶ㅢ敥晥ㄵ㤹㍡〸㌲昶戱㐶㑣㌵愲愸ㄱ㐱戵ㄲつ昰〴㙡㠵㈹㜰挵㤳愶愰㤸〰㜵㍢换户㐳捤ㅢ愸㥦戱㡥㍢㐸敥〴戱〱㜵户㤱㔵㔳昱㉢㐰摤㐳愵㝢㐱搴挱㈰〲搴㝤㐸㔸㠷㙡㐳ㅤㄶ㔰摡㌴戰摤㑥㙥〳㌷搸㥦㑣ㅤ〲つ㉦〰㕡㡢〱搰㘲ち㕣㔱慢ㄹ戰㈴〰晣ㄶ〹搵㔴ㄴ㠰㠷㈰搶戶㤳㍣っ㤲〷㈰㠸愴㘲攰㑡㥣㝦㤴ち㡦㠱愸㕡㄰㜱晥㜱㈴慣㐳搵搸㥣て晣ㅥ散挱㐷扡㕣挳攴㐹ㄴて㙡㌴攲㐶㔰㘴㡡㜱㌱㉦㤴㈶ㄵ㐳改㈰㔳攰ち愱㌵挰㤲愰昴〲ㄲ㙡㐲㔱㤴㜶㐰慣扤㐴昲㌲㠸〳愵㐶戰〴愵㔷愹昰㘷㄰搵っ㈲㈸扤㠶㠴㜵愸㜱㜶㤴摥〰㝢愲昷㌳㘶挱ㄳ戹ぢ㥦扦愲㘰㔰㘳㜱㌷㍥㈲㔳㉤㤰㜹攱㔳㔵っ㥦ㄱ愶挰ㄵ摢㥢〵㑢㠲捦㍦㤰㔰ㄵ㐵昱㜹㡦慤㜹㥦攴〳㄰〷㍥㠷㠳㈵昸㝣㐴㠵㡦㐱ㄴ挳㜷㠲捦㑥㈴慣㐳㤵搹昱昹ㄴ散挱挷〳㕤㈸㜱㔲っ㙡㌴攲㐶㐹㘴㙡づ㘴㕥㈸㝤晣慦㈲㤳捤㐷愶挰ㄵ㘸㥣て㑢㠲㔲㌹㘶㐹昵〱搴扣㈷㥢㈰挴摡㜰㤲ち㤰㍣㑡摡〸㈳慢摡㘰㐸㤰慡愲㔲〸㐴㉤〴㑢㤰ㅡ㠹㥣㜵愸㜷㔰㠷㌵搹〴㐶㐳㌲愸攸愴ぢ愴戱㈸ㄹ搴㔸摥つ㤲挸搴㈲㔴改〵搲慢挵㐰㝡挵ㄴ戸挲㥥㑢㘰㐹㐰ㅡ㡦敡搴㑢㐵㐱慡㘶㙢㈶㤰㑣〴挹㠳㈴ㄳ搲㔲ㄸㄱ㠰㈶㔱㘱㌲㠸㙡〷㑢〰㥡㠲㥣㜵愸㘷敤〰㑤㠳㘴㤰愱㔲ㄷ㐴㠷愰㉣收㙣㔰㌷㐴㈲㔳换㔱愹ㄷ㐴㡦ㄶ㠳攸ㄱ㔳攰㡡挱慥㠲㈵㠱愸ㅥ搵愹敤㐵㈱㙡㘴㙢㥡㐸㥡㐱ㅣ㄰㌱〸㉢㄰戵㔲攱㌰㄰搵〱㤶㐰㌴ぢ㌹敢㔰扦戶㐳㌴ㅢ㤲㐱㐴㙤㕤昰捣㐱戹愰挶搲㙥㜸㐴愶搶愰㐲㉦㜸敥㈹〶捦摤愶挰ㄵづ㍥ㄶ㤶〴㥥㈳㔱㥤扡戳㈸㍣㑢搹㥡㘵㈴敤㈰づ㜸㡥㠳ㄱ㠱㘷〵ㄵ㔶㠲愸捦㠳㈵昰慣㐲捥㍡搴㑦散昰慣㠶㘴㠰昸戱ぢ㥡㌵㈸ㄳ搴㔸搲つ㡤挸搴ㄷ㔰㤹ㄷ㌴搷ㄵ㠳收㕡㔳攰ち㑣㌳挶㉣搰㥣㠸敡搴搵㐵愱改㘴㙢㑥㈲〹㠳攴愱搱㈲㐶㔶㜵挲㤰挰ㄳ愵㤲づ愲挲㘰〹㍣㌱攴慣㐳㕤㘲㠷愷ㅢ㤲晥〲摢㉥㙣搶愱㐰㔰㘳㌱㌷㌶㈲㔳㕤愸挹ぢ㥢ぢ㡡㘱昳つ㔳攰㡡㤸敢戰㈴搸㘴㔰㥤㍡扦㈸㌶扤㙣捤㐶㤲㑤㈰㜹㙣㘴攲㠹挱㠸攰搲㐷㠵㤳㐱㔴㌷㔸㠲换㈹挸㔹㠷摡㙡挷攵换㤰っㄴ㜱㜷㘱㜳㍡ち〵㌵ㄶ㜵㘳㈳㌲ㄵ㐷㙤㕥搸㥣㕣っ㥢㍥㔳攰ち攵㈷㘰㐹戰㌹ㅢ搵愹㑤㐵戱㌹㤷慤㌹㑦㥡〴㤲挷㐶晢㠶㤱㔵㐹ㄸㄲ㝣㉥愰搲㠵㈰㡡ㄱ㝢挱攷㥢挸㔹㠷敡戱攳昳㉤㐸〶扦〴攰㐲敡㍢㈸ㅥ搴㘸挴㡤㤴挸搴〶搴敢㠵㔴戴ㄸ㔲ㄱ㔳攰㕡㕢挸挰㤲㈰㜵㌹慡㔳攱愲㐸㕤挹搶㕣㐵㜲㌵㠸つ愹㙢㡤慣㘲搸㐷㤰扡㡥㑡搷㠳㈸慥㈱〸㔲㌷㈰㘷ㅤ敡㌸㍢㔲㌷㐱㌲挸ㄵ〹ㄷ㑣㍦㐴搹愰㐶ぢ㙥㤸㐴愶㌶愱㔲㉦㤸㔶ㄴ㠳㘹戹㈹㜰㉤㜵㥣っ㑢〲搳㑦㔱㥤㕡㔶ㄴ愶㍢搸㥡㍢㐹敥〲挹挳㈴㈷摢㈹㌰㈲㄰摤㐳㠵㝢㐱ㄴㄷ㌴〴愲晢㤰戳づ搵㘶㠷攸ㄷ㤰っ㙡㜱挴〵搰㌶㤴っ㙡㉣敦〶㐸㘴㡡㑢㈹㕥〰戵ㄶ〳愸挵ㄴ戸㔶㕤戶挰㔲㍦㐱㜸搷㐲㐷㐱㄰扥㈲戶㈸㥥挸敡㘹㠹戳㔶挵昰㘳㙣〰㤲㝣㈵㘳换㘹㙣㌳㤱摣㤸㔸ㅢ挲换搸㜱㤴敤换〷摣㕤攱㙤㈳晡晢晦㐱晣㍤㉥㠸㉦㈱晣㠲㐰㝥㍦㐱㜲っㅡ㐷ㄸ扦㝦㘵摢㈰ㅡ㠳攱攸ㄹ㔱㤳㐱㔴〳换㠵㠳㡣晡捥昸愰㙣慢捡改ㄷっ㐲㘸搷ㄶて敥㜳戰扢〷㈹慢㈸ㅡ㐸㍦ぢ挲晦㕦㠶㜰㙥昵㌴㤶㈱㝥换〹散㜷㈴て㤱㙣㈷㜹ㄸ㐴捤㌴愷㘱慥昸㡥挶扦㔳㑡㝣扥摦㐰攰搳ㅥ愵捥㘳㈴㡦㠳㘰ㅡづ㍣㠱摦ち㜴っ㔷捣㝡戱㉢戰て㐱挳摦㠳ㄷ昸〳ㄵ㘴㉡愹㘶㍣㍢㠸㤵㘵㔸㤰㘹晡㐹㠸戴愷㐰㉡㥥〶㔹㜱愴㥥挰搲搶㘷戵㈷搳捦ㄵ搳晥㠳昱㘸㉥㕤摢㉢搹搱㠷〰㙢㍡搵㠳捤慥㕣㈳㤸ㄷ攱㕥㌴ㄵづ㈴摢㔳㙤扤搹㐰昲挸㌸㝥㉡㤲慢昵つ㝡㌸摢㠶愵㑢㉣㐰戴㘳㘵㕢㤶ㄷ㤶㐴㌷晦㕦㉥㍦昸戸㐶㠴㔵攱晣ち㠴㜲㥥挵挶㐲㠰〹㙦捤㠲ㄴ㌶挸敡戲摤㤷戰〷〲㔸㑡摡〳搷ㄷ㝣摡㌳㘸摤ㄵ晦㝤昳慣挹㤷晤㘴㤷昹㝢㍡㈲㍤㜲㘸㘷挰㘹昷㔵昷㌹ㄴ〹昶㈷㔳㕢㔱㉥㜷㐵づ散㈰㙣ㄸ〶㐶戸㜸㝣戱慢昲〱愶挰戹攲敥攷ち摥㙥慣㤴㜲戳㤴ㄶ㍢㈶慥㙦攲愹㌰㈲㠶㥤戰㙤扤㤹㙣㑡搶愱㉡㘳ぢ㔲㉢㔲搹〵昱捣㠶㐴戸㙦㜴捣㑣ㅣ摢慤昷㘰㤵㌸㡤挵㘲〷㉦戵㘱㠳ㅥ搵㘲ㅤ愹摥㜴㐴㕦戲㘰㑦㔸㐵㠶㝦ㄸ㡢戲㠰㕣愲㜰っ㙤㘱ㄴ愳㔹㘱㔲攱㍤㥤晦ㅣㄸ㜴慥㙦搹㉥ㅣ昹㝢㤴㄰ㄴ慢昲㠸慥㠹㘷ㄳ晡昰㤸挸㈵㕤ㅥ〳㡡㔸㝡㡦づ㡢慤改挶戲捥㠲捡搸攲㜴㍣㥡㠸昷攸散っ摣昷㜰㝢㜱扢扥ㄶ换散慢㔲ㄹ搹〶㔷ㄹ㕢㤳づ昷㘴㌶㜰挵㌰搲㌷慡㈰㈷攷扥㍦㌶㍦摥㤳㐱㌵搲㡢㑣㔷挵㍡扡㔳㥢戰戱扥㌷搹戳㌸扣㈱戳㐷昴ち㐶戹㜹㐸搷愸ㄲ㔵㔲愲捡㑢捡㠷摡㍦㠱㔷㘱㜱敦晣㍥戶㙡㡣搵㙣㍡摥搵换扤㠳㔲搳㑣搰㌲ㄲ改㐷㥦晦㕣愴晡戹晥昳㉥挰摣〰挱挵㝤戶户㘰慢㤰攷㍡㜳敥㡤〵㕥昹戵㍦愳㔰挵㙢㈰㑢ㄷㅦ扤㈴扦敤攵摦㝡㔷挰捦㈵㜴攷㙣敡ㅣ㝤戹㕤〶㘳愱㍣挲ㄸ㐶攴㜱㔴攱散挴㘸㘰捥㌹㌴㠳㌱搱攱㈸ㅤ㤱㑦㉥挲㐲㜵㐵慣㍤摣愵㈷戰扥㥥っ㘷㐷ㄸㄹ摥ぢ㈵挳㠹㡣㈹㙢㑢㈵㤳㘱づ㍢づ搹づ㙣㔷搶换㘳昳㝡戳㈹㙣㌳搷㘲㈰㌲㌶㑤㔶㜸㌳㔸攱捤挲慡㠸慤收扥ㅢ㐹搳㔶㙡㙤㌸ㅤ捦㜶㈷攳㤱㜲㘶戸㌷㘶㡦ㄸ慦㤸㐳攴慡〶㐰㜹㔸昳㠹昳㙡㙥㕣搷搰摤㌵戸㡤㈵㜴散㝥㡣敡ㄲㄵ挰㝦㙡㠸摢㌲㌰晢挸㠵㐵㝢〳搶晣戸攵㤱改㐸ㅡ昲敥㉥戰㜸扣㉢〱ㄵ㜹攸晣㍡戲攴㙡㝦〱㘵㠲晦捡戸戱愱摦㌵㝢敥㠶ぢ戶愷挲搱㐵㜸昲㑡愵㠷㤹敦戶㤴愳㙢㌹摤愴㐳摣㐵搱㠶㡤㌹㔸〵摥ㄸ㡦敡改㜲㌲㍡㜰㠷㔲挶晤ㄷ〱愳て㠹㡤捦敦ㅦ㕥敥㔵搷ㄲ换搶㈴㜳改搹晥扡捦ㄲ㤷晤户㡥㙡攱搲〶㑥㔸戹㑣晤ㄵ㝥㘸㙦搲㈷敥捦愰㍦づ㠵户愸昰㌶㠸晦㐲〸㥤㝤㔳戸愱〱摢ㅥ㌴㈸㤵挹㕢㈱摣㙡㔱㡥㙤〹戲㐷挳㉦㡥っ户敤慤〸ㄸ摢㉡捡慤㔷㑤〲ㅤㄸ攵㝡㌴㘸捣戱扣㍦攳捤㑥㐹㐹ㄹ扡㍡攰㝣㈴㜶㔵ぢ㘳挹づ㕤㌶㕤㈸㥥愰㠱㜷㔰㜸ㅡ㑦ㄶ搸敦㜴敦㙡㜵扣㘱攱㝣收て〶戵㜷㘱挰ㄷ㔴摦〶戵㔰㤹㐵㡥〱摢㝦㐳慡晤ㅤ㐴㜱愹㥤昷〷戶慢㤹扡〲㔹㕥搱㝣㠱㝦㐰㘵㜷㘶㔰㜵㈵㑡㜱ㄶ搵晥㐹攳㔷㈱挵挹㈹㌷㔸摦〷㜷攰挱捡㘵㝣㈸㘲戹㡤㐶捣㡣扡ㄶ〹换ㄵ㈴㉤㔷㍥㠴㠲昶ㄱㄵ戹捥敦愱昰㌱ㄵ㜶㔲攱㝡㈸㜰ㄴ〴㍥㐱敥㜳晤愱㡢攱散㝡搱挳〳攴㝦挱づ㐰扥搹㔶昱攱攴ㄸ㈰昳㌴搴㝣㌸㌵搵敤㘰㍡㐱晥ㄹ㜸〶挸ち㉡扢〵㌲㔷昴〵攴ㄲㅡ扦ㄳ戹〲㤰换挰ㅤㄸ攴扢㔱㡣捤搷愸捡㠴晣攳㍥〰てっ〳搰搱㠶㔱昱㕥㙦㠵㜲㉡昰愵㍢㜵ㅦㄴ〴攴㈰㜲戵ㄶ挸摥㑢挱㌳慡ㅤ慦慣㔴扢㙥㤶㌱㤴㉢㘰〸㈸㙦戳搵㙣ㅢ捡㤵慣㜹〴㙢晥㉤ㄴ㥣㈸㍦〴㥥愰ㅣ㐴挲攷㜳㕣昰搵㜶昰〴挹㉡ㅡ攰ㅥ㠱〲㈴㐷㠲㍢㌰㤲摣㍥攰㠱搹㈸㌶㙣㌴敤㍥收慤㌰㠶ち㘳愹挰摤〶㠲搹㕥挸攵㌰㜳㙥㠵挶愰昴㝥㥤挶㘳㘴敥〳㐳挰散㐹㕢捤戳挹㌱㐶收㌸搶扣㉦㙢收捥〰㈷㘶㍢挰敢〷戳㤷㈰ㄶ捣昶愳㠱㤷㤱㉢挰散〰㜰〷挶散㔵ㄴ戳㌰㉢㐵摡㙣搸㜸ㄴ搶づ愴㕤㙥㌴昰㔰愸愶挲〴㉡扣〶〵挱㙣㈲㜲㠷昴㍦捥晡摤㜲㠰ㄱ㌶〹㈶㠰搶㕦㙤㜵摡㐶搸㘴搶㌹㠵㜵晥〳ち㑥戴摥〳慦ㅦ戴戸㙤㐰搰㥡㑡〳摣㍦㔰㠰搶挱攰づ㡣搶㐷㈸㘶㠱㠱愴㠵搶㈱㙣搸㜴摡攵戶〳て㠵㐳愹㌰㠳ち㍢愱㈰㘸搵㈰㘷ㅢ㘱㠳㝣㈱挹㘳㠴搵挲㄰㌰摢㘵慢搹㠶㔹ㅤ㙢㥥挹㥡换㌱慦㌸㌱ぢ㠲㈷㤸〵敡愱戲㕢㜳摦㜰ㄴㄵ㍣ㅢ㘸㥣㍢つち昰㙣〲㜷㘰㍣戹㈳〱晦㘳㠵㤹㐶㤰㤰㝦摣㤶攰〱㘲ぢ㜴戴㔶㉡㠶扣ㄵづ愳挲㉣㉡㜰ㄷ㠳愰㝣㌸㜲搳晢ㅦ㤳㜸戵挱昶ㄶ愱〷挰㐷挰〶〰ㅥ㙢慢搴〶昰ㅣ㔶㍡㤷㤵㡥㠷㠲ㄳ攰㙡昰晡ㄹ㤴ㄳ㈰ㄶ㄰攷搱〰㜷㈲ㄴ㠰搸〶敥挰㈰㑥㐲㌱て戸ㄶ戰㘱ぢ㘹㜷戲户挲㈲㉡㉣愶挲ㄴ㈸〸㕣㐷㈲㌷挳㠲换㌹敤㜹扦昵攵〱搸㔲㔸〱㘰㠷搸慡㍤㡣ㅣ㘳捥㕢挶㙡摢㔹㙤㍤ㄴ㥣㠰㌵㠲搷て㘰㑤㄰ぢ㘰换㘹愰ㄹ戹〲挰㔶㠲㍢㌰㘰摣戲攰〱搸㉡㌶散㈸摡攵㜶〶て㠵搵㔴攸愰挲㉣㈸〸㘰㙢㤰㍢㌸て㤸晢㉣㉥㝣晢换〳慣㘳㘰〱㘰捤戱㔵㘹扢㜵㌹㤶㔵ㅥ挷㉡㡦㠴㠲ㄳ慣愵攰昵〳搶㌲㠸〵慣攳㘹㠰扢ㄴち挰晡〲戸〳㠳挵つっㅥ㔸㥣挰㠶㥤㐸扢摣摣攰愱昰㐵㉡㜴㔲㘱ㄵㄴ〴慣㤳㤰㥢㥣〷慢昰ㅤ搵〱㠱敡㐲㘹〰戵挶㔶㥤㙤㔴㐵㔸㕤㤴搵㜱㙦㠲ㄳ愸㑥昰晡〱敡㈴㠸〵㈸㥤〶挲挸ㄵ〰戵ㄶ摣㠱㠱攲摥〶晣敦搳扡愱㙥ㅤ㉡ち㤶㠵㡥敤晡ㅡ㠷㡥戶㡥戵改摥ち敢愹㤰愰㐲っち〲㕦ㄲ戹㠹摥昰つ㜴㕤㑤愱㈸戰㕢㘷慢换㜶ㄷ戲㠱㜵㝤㠹㜵㘵愰攰挴慥ㄷ扣㝥戰摢〸戱㘰㤷愶㠱㑤挸ㄵ㘰㤷〵㜷㘰散戸摤挱〳愵㕥㌶㙣㈳敤㜲㉢㠴㠷挲㈶㉡㙣愶挲㈹㔰㄰㤴晡㤰㥢㤲㐷挹㜹㐶づ㠴ㄴㄷ㉤㠰ㄴㅦ搸慤晡㙣㤳晤愹慣敦换慣㡦㍢ㄹ㥣㐸㥤ぢ㕥㍦㐸㥤〷戱㈰㜵ㅡつ㥣㡦㕣〱㔲㕢挰ㅤㄸ㈹敥㠴挰晦㡥㔱挶敤㄰㔶㜳㌹昴捣愹昶っ㌶昷㑣搶㜶愱户挲㔶㉡㝣㤵ち摣㍤㈱昸㥤㠵㕣敥扥愴搸搳㠲昳づ搸敢㘹攱㙣ㄸ〲㤲摦戱搵㙣㐳昲ㅣ搶㝣㉥㙢扥ㅣち㑥㈴慦〴㑦㤰っ㥣〷㤵摤扡㉦戹ち㐵〵攵昳㘹㥣扢㈳ち㔰晥〶戸〳愳㝣㉤㡡攱㝦扣㙣㐲㈳㐸挸扦敢㐰㍤㔰扥㄰㍡摡㌷愹㜸扤户挲㐵㔴昸ㄶㄵ戸昳㐲㔰晥㌶㜲戹ぢ㙤㌱㤴ぢ㕦〱昵戸㜶㝣ㄷ㔶〰昱て㙤搵摡㈰扥㤸搵㝥㡦搵晥ㄴち㑥㠸敦〰慦㥦挱㝡㈷挴〲攳㈵㌴挰摤ㄳ〵㌰㝥ㅦ摣㠱㘱攴挶ちて挰㝥挰㠶㕤㐶扢昷㝡㉢㕣㑥㠵㉢愸挰㝤ㄸ〲搸㤵挸攵㙥攴㥣㜷㈶㕥敦愶㝡挰㜵㌵㙣〰慥㙤戶㑡㙤㜰㕤挳㑡慦〵昱㜳㠵戳㥦㌰㉥ㄶ㠰㙣敢攰㈳㘰㌳㄰㍢ㅡ㉦挲㈳挲捡㜹㘷㔱㍣㡢㔸㔱㐵っ〴㐹㔹戰摥㔷㈲慦戶㐲搳㜳慢㍡〷扡㐵〵换㍣攳摤㜲晢扡捦㈴て戱戱㈲㘴㕢〸ㅡ㐸㐹㔶㠶㍣摡戸㈷㉤ㄵ㈹㘳攱搲㕣㉤㔲㤳㡢㉦昷摢㜰㘷愴晦摦㔸㔸㤲㔹つ㥢愷㌸㙣ㄴ晥挳〳敡つ㐸㜳㥤改㜷〳づㄱ摢敥㠷攱ㅣ㜶㕣㙢㌲㜸㤵收昶㥡㈵㍤ㄹ㐴㙡㠳㘶づ㜱昸ㄱ㘶㜲㘵㙦戶㐰ㄲ摥㍣摡㤴攰晤㥦㤵㍤㔸㍤㠹㠴搳搱㍤㈴昴づ摦㡣㔵㈲㠹愲て㜱〵て㐶㜸搸〲收㔸㤷扤搱挴晡㈱㘰扤㍢㥢㐷慡㘰愹㤲㜰攷昶㤴㤴㌳户㕣て昷㐸㉦㜴㘴愳ぢ昴㡤戲㥣扡㑡挷㕡㈸扥㌳㤴搰㐷㑢㠱㕣㔶挲捣㕡㙣㕥㔷〶㑢㜳㔹慥戹㤸㈹㌹搱戵搸㙡㍤㠱㑦扢㙣搴戱㐴㘲愶㔶㐵戲搸㉡㤵㌳挰㌷㜵昷㥣ㅥ〲㈲㘵㘶㉦㈹改愷㐰㍦昳㕢愱ㄳ㍣㠷㠶搶慢㡣扢挷攴㜸㘷㡥敦搲㑢㜸摣㌴㐷摤㌵晥慢㙦ㅥ㜵搷攵㜳捣〵摢敤㔰敡㘷愵て㜳慤㝤愷て捦愴搱搶〶㌴㘳㠶㤳挹慢挲攲㜱㌹戰㤲㑢户㘹㝥昶㠸㥦ㄲ愸攲愹㤳挰㝡㐹㤶ㅦ敡㐹昴㡤㠸㉤改㠹㈴㝡愳扡㉣㥢㔹㜳戶慣㥥敤ㄱ晤㔵〶㐰捣㌳慡ㅦ㕣㑣㔰㤶攰戳㙢搶敢捤㐳㕦㍦搷㙥挲㤹㈶㤳ㅤ㙣〴戵ㅦ㥡攷ㅤ㌷昵散昶戶慡㈰㕡㍦㉡扦㈹㔰扥摣㠵愹捤挵攲㥣挶㍤㌱戹㥤㔹㜲挶搹搴摡㔳敤㈹慥扦摢㔸㐷挶つ搶ㅥ搱㑦昰搳攸愶㐰〰㡢㠷㐳㍢㐳㘸㈳㝦扣㝢晡㘱昷㍦昸挶㌳搷扣㠲㔸㠰散㘶㔰摣㌷㈵昷㘸摡ㄹ愲㠶㉣〳攷㈵昹㤵㜲昵ㄸ㜸㜲㥦昶㈳昴㥡攲昶㉡攳㍥捤攸㑦敤㈷攰づ㝣㥦挶㥤㔷昸摦愷摤㐲㜵㈴昸㑦㍤〹㔶攱摤ㅢㅦ㘰戵㕢愱愳摤挶摡㥥昲㔶戸㥤ち㍦愵㈵㙥挹㜱㑥㌴㐵㜷ㄷ搱戸㍦挹㕢戹昲㈴ㄷ㉥㜱㥡〶昰㉡㌶㜶㑦つ挳ㅤ搶昰昲愷㘱㑣晢ㄹ捣㍥扣㝤㍢ㅦ㕥㝤敡㌹㕢晤㥦〳㈳ㄸ㠴㈶摥戳㘴晤㜷㠲㈸㉥昲攳㝦散晥㘵づ〹愹㠳ぢ戵捥昵㐷搷摡㌰ㄷ㤴㜱㘹挶㉡㜱㐷戶㉦㠱㤵㜹㈶戹ㅥ㘹愴搸㐰㐳㡣㔵搲㔴ㅡ㈷㙤㤹㜳㌳㘱慥㉣㌷ㄳづㅦ攳昸攲㠱ㄴ愳㠴㡢搰晥挵㥦扡摦敡捦㤵㘷挳昳慦㍦戳っ㡦挰㍤昰㘹捣昲㜸㈴㥤捡愴㘲搹敡づ散㍣愹收ㄷ㈴㘲㝣㝥昳㉦㠴㐵捦㍡改㔸㔹て扦愵户㤱㙦㔴〷搷昷愴㌶昵㐸㙢晣ㄹ㝥㐸㠳戵㘹挳㠶戱ㅡ㥥换㜲ㅣ〴昰㐲㕣戰㘶㘱敤㍥㔴㕣㔹ㅡ晡㉢㌵㜱㠴摥戴ㄲ㙦㔹〹㉥昳昲昰扦㡢挴㘰搷㕣㘹㕢㜵愹〸㐲㈶㝡搹戰㘱慥㕢㍣搷㕡㉤㜷㑣挸晢敥㠱〰㤷㙡晤㙤㜰搹㜹㕦攸㕤㠸捤换㈳捡挲㜰挹愷晤〲㔴扢ㅦ㈴ㄸ攲扡㉣ㅢㄴ搸㠶㙣㐵摢晣㑥㤹㥥㔶攳㝢ㄶ㠱㕦㠲㌳ちㅣ扣㜸㙤扤㡡捤㜱ㄱ昸㑦昰㐷㠰㙦摢㥣ㄲ昸ㄵ㜸㈳挱㉢晣愶㘱㠸ぢ扥〲愵散㙢扣㤴㜵换㙥昶〷愰慥㘴挱㤶慣〷㤹㐳㠲㠳㔶扤㡦ㄴ〷慥㙡㠶㤷ㅣ㉥㘰晡㌴㡥〱㜶户㙡〴㠷㕤㕥搸㘵ㅦ㔸昵㙣㠷ㅥ扡㡣㑢戴㍣㐲㕣愶㤵〴搷㘴㈵戱搳㑣㈸㉥愵戲摢㔴㍤捣ㄱ㔲㔶愱㍤〲慡㍤ちㄲっ敤㠲㔰ㅡ㑦㘸㌴愲愱搱㜵㡤扥㠶〸愴〸慢㔹㑡㍣㍢㤰愹愷挱挷㉥㈲㄰收㥥㌱ㄳ攲㔹ㄹ㌲攲搹㔴㔴收昶㙣㌲戸㙥捦㌸愷㐹㍤捦㈳〱捦〲昸攱ㄱㅡ㘶㈵捡慤㠴㘶㈶㔴〵ㄲ攲搹㐱㜶捦㕥〰㔷㝢ㄱ㈴ㄸ慡〴㉤敡ㄹ㔷㌶㐵㌸ㄵ搵ㄸ㥥㑤㘱敡㜵昰㔵ㄵ〹㜳㙦㤸〹昱㙣㈴㌲攲搹摥㥥㥥㡤昵昴㙣ㄴち昱〸㡤戶ㄲ㘳慣〴㤷㈸㜹愸㝤㤰㄰㑦挶搸㍤㜹ㅢ㕣敤ㅤ㤰㘰㘸ㅣ㘸㔱㑦戸摥㈸挲ㅡ搸㌲㍣㤹挱搴晢攰慢晤㐸㤸晢挰㑣㠸㈷㕣㑢ㄴ㑦捡㍤㍤〹㜸㝡㌲ㅥ㠵㔸㍡戰ㄳ㠹挹㙤昳摢㔶㜷㜶㌵户㌶㌷搷户㠴昵㐸㕤㐳㐳ㄷ晥㡦㌴挴㘶搶戵㌴㌴㠷挳㑤攱慥㔸㕤攰㤳㥣㙡㌴搶搸ㄲ愹㙢慥㙦敤ち㐷ㅢ㥡挲㤱㤶摡搶挶㐸㈴㍣㌳摡ㅣ㥢ㄹ㙥㘹㘸ち㝣㥡㔳敤搲扢㥡㥢ㅢㅡ昱昵愸㠶扡㠶㤹㤱晡㤶㠶挶慥㤹㤱㔸㙤㙢㕤㈴搲搸搸搴ㄴ㍡搰㙣㠹昶㉦㈴㌴㡥㘸㡤㉤ぢ㔵㕢㝣㠵㥣㔶㐲㠲つ㌲扥㄰搷㌵昱㙢㘸ㄹ晡㉣愹㈶㠱〸敥ㅦ㝤㘲㍢㌷捡㔹㡥㕦戴つ㠶㈶㐳愱㈸敥㔳㉣㘱㈳㑤换戹搱挰搴㐸ㄴ㔵㔳㘹㥦戹㔱捣㈱㠱ㅦ㥦㍡ㄸ㕣挱晤㙤㔴攸㍥㌷摥〴搷㝤㙥㜰㌵㤲㐷㘸扡㤵㌸搴㑡捣㌰ㄳ慡ㄶ〹昱攴慦㜶㑦昶㐶愵摡㍥㈰挱㔰ㅤㄴ㡡㝡㌲搳ㄲ㜲愵挲昰㠴㠱ㄴ慤㥡㙤㙦㠰㔰㍣㤹挰ㅣ搸昸挱愷〱挰ㄵ㑦㕥昰昴攴㜹㑦㑦㥡慤㝡㈶挳〶捥昲ㄶ攴㜹㠴㕡慤〴㤷晣㠴㌳换㑣愸㈳㤰㄰捦晥㘸昷㙣㉡っ㘸搳㐰㠲愱㌹㔰㈸敡搹㕣㑢搸〶慢㠶㘷昳㤹慡㐵㔱㈵㡢㜴捣搵㌱㠷〴㝥㝣慡つ㐵挴戳㐷㍣㍤摢敥改搹〲ㄴ攲ㄱ㕡㘸㈵ㄶ㔹㠹挵㘶㐲㜱ㄹ㑤㍣㜹挸敥㐹ㄳ㉡搵㥡㐱㠲愱㘵㔰㈸敡㐹扢㈵㕣㡡㙡っ㑦㤶㌰㌵㠷㙤㕦づ愱昴搱㕣收挰挶て㔶㜲挰ㄵ㑦敥昷昴攴攷㥥㥥慣㐲㈱ㅥ愱愳慣挴㙡㉢挱愵㌲ㅥ敡ㄸ㈴挴㤳晢散㥥㉣㐴愵摡㈲㤰㘰攸㔸㈸ㄴ昵攴㌸㑢挸㜷㡥つ㑦㔶㌱戵㠲㙤㍦ㅥ㐲昱㘴㈵㜳㘰攳挷愷扥〰慥㜸㜲㡢愷㈷㍦昶昴攴〴ㄴ攲ㄱ㍡搱㑡㝣搱㑡㜴㥡〹搵㠵㠴㜸昲㈳扢㈷㙢㔰愹㜶㌴㐸㌰ㄴ㠱㐲㔱㑦愲㤶昰㌸㔴㘳㜸挲户㡤戵ㄳ搹㜶ㅤ㐲昱攴㡢捣㠱㉤晦搶㠲㉢㥥㕣攵改挹ㄵ㥥㥥㜴愳㄰㡦㔰ㅣ〹㔸昳〵扡㐰㡤㈹㌸ㅣ㙤㥡㔹慦㌷戴㌴戴㌶㐵ㅢ敡㥡敡㕢㘲㑤捤慤㡤昵戱㐸㘳㔳㕤ぢㄲ㠱㐸㑥戵慢戹愱㔹㙦㠹搴戶㌶捣㙣㙤愸慦敢敡㙡㡣捥㥣搹摡ㅡ㘹㘸㙣慥㡤㐵㕢ㅢ〲搱㥣㙡㉣搶摡搴ㄵ搵㐱ㅢ敡ㅢ㘲㑤戵㌰ㅦ㡢㌵㐵㥢㥡㘲㡤㜵㤱慥㜰㈴挴戵㉥戶㐴搳㐱戵ㄸ挹㕡㤰搰㝡㡢摦㑤㔶㥣㘴ㅤ昹〹㡢㑦㉤㐳㥦㈵㔵ち㝣改㠰㡢散ㅤ㤰愲搲〶㤰㘰㘸〳ㄴ㡡㜶挰㤷㉣㘱㈷㥢㈲㔳㌰摦㘹搶㌶搳㜴ㅡ㐲改㠰㍥收挰挶㡦㑦㘵挱㤵づ㌸换戳〳戶㝡㜶〰ㄷ慥㔸㍡昰㘵㔰〳㜷扤慥愵㌶㕡㡢换㔹㑢㌸搲㔰摦搲搴搵摣ㄲ㙥慡㥢搹愵捦㡣㐵㜰㔹㙢つ㥣㤶㔳慤慦つ㌷㠶扢㙡㜱攵搳扢ㅡ挲戵攱㜰㝤㑢㝤㑢㌳㄰㙤愹㡢㌵户搴㜷〵㑥捦愹㐶扡扡敡㕡㕡敡昰㥤搴㜰㙢㐳㜳㤳摥搲㔴摢慡敢つ戱慥㘶㍤ㄶ㘹㠹㐴㐳ㅢ捤㤶㘸㕢㔰㐶晢ち挹ㄹ㈰愱㑤ㄶ晦㑣戲戶㤲㝣㤵晣捤ㄶ㥦㕡昹㐲敡ㄴ昰〵昷㑤㜶摣捦愵搲㜹㈰挱搰愹㔰㈸㡡晢㤷㉤㈱ㅥ㑥㑣摣㜵愶扥㠵愲敡㌴〸〵昷㙦㌳㐷捣昹㙦ぢ戸㠲晢㝡㑦摣攳㥥戸㥦㠱㐲㍣㐲㘷㕡㠹慤㔶攲慢㘶㐲㥤㡤㠴㜸搲㙤昷攴ㄲ㝡㜲愹㜸㜲づㄴ㡡㝡挲㈵㉢ㄱ昲㔵㘴㘳〴㈵㤸扡㥡㙤㍦ㅦ㐲昱攴ㅡ搳ㄳ晣昸ㄴ㤷㥣挴㤳ㄳ㍣㍤昹扣愷㈷ㄷ㔸昵摣〰ㅢ戸昴㕤㠸㍣㡦搰㌷慤挴㐵㔶㠲㉢㑢㍣搴㜷㤱㄰捦㡥戳㝢㜶ㄳっ㘸㌷㠳〴㐳ㄷ㐳愱愸㘷摦戳㠴㔹搸㌲㍣攳摢挸摡㙤㈸慡㘴ㄵ㠸戹摢㤹㐳〲㍦㍥昵㝤ㄴㄱ捦摡㍤㍤㕢敡改搹て㔰㠸㐷攸㌲㉢㜱戹㤵戸挲㑣愸慢㤱㄰㑦㤶搸㍤戹ぢ㤵㙡㜷㠳〴㐳搷㐰愱愸㈷搷㕡挲㔳㔰㡤攱挹挹㑣晤ㄲ㐵晤㡣收㍢㥦ㄲ㙤㝢昴㙤慢〷っ㈶㠴㙣㑢㍡昲扣㌹㌲㜶㔴㙦㤸ㅦ㔷㕦㠹戸㘲㤶慣㍤㈱ㅡ㔵㘶㐴㜷〷㝣搴ㄶㄷ扥㜰㈲㥦㜸㥤ㄸㄴ㍥㈹㥢扥挹攳昵搰㘲㕢㐱晦ㄱ攸扢挱搵挲〱㔵昸㍣捥攱ㄵ搴㝥挵扥挶〷愲㙥㐰㥦挹㜹昵㙢㌰㤸㤰㝦㌷㕡摣晦愲戶㜹昸㙦〲㜷昰㠱㔳ㅡㅡ㥤摦攸捥㔷ㅡ愶㈷㄰㐳ㅥ挴ㅢ㈴扦㘱㕢ㄸ㉢㤵㤶㍤㠰ㅣ搲昲㑦晤挸攲㍥㘸戶㔷攲㘹㍦〱㔷捥㤶㘶摢搹ㄲ昸ㅤ㔴㡡㠶㜱㔴愳攷㈹㜴ぢ㉣㤵愳㌲㙤㍢ち㙢て㤳㍣㐲昲㈸挹㘳㈰㤸㌰㙥㘵㙢㜰㠴㙥戳ㄲ㡣换〹㠷戱㌹ㅥ㔵㡣愶㌱㘲㄰㤰散㘷㐸㐲㜷挰㌲摡攱ぢ㍣づ敡㡣㡡㍣〱㕥㘱㑣攵昷攰㜸挴㐹敥㌴慤㘸㕢㘰㑡晢ち挹㔳搰っ摤〵㝥㠸戹愷㤱慢慣昲摦㠷晣慣攲㉢㠲戶㠸捣㜴〴捥ぢ㍥㡣扡㄰ㅦ㍡敤㐳㜱㕦㈹摥㤳㌰摥㉥㈸㉢㌹㙣㘸戶㜸㜶㜱戹㠴晦晣搳搰㜳晦㠶ㅤづ慡晣㈹㐱㡢ㄲ㐷㜹ㄶづ㔷晤〲敤㘵㤷㌹扡敤摤㌹攰昱㤸㉢搴㔷㙥晥㠶捣摦㌱㜳慢敥户㑡㥥愸㈶㕣㌴捦扦攳㜴攷ぢ㤳㔲㜲摤㌳摢攴昷散摦ㅢ扦敤て㙦㔳て愰攴晥攰㍡扦㤹㜷㄰摣昴晣㘶摥㐴㔳攰晣戸㘰攸㐱㔸㤲捥㝢㔱㍡㑦㙤㐷㥥ㅤ愸慡㔱㠲愸㠹愳㉦搱㔱㐶㥤㠶收攸愳㔶挹㝥ㅤ戵㌹㘸㌸晣慢㙤敡㘹㤴昴㜲㜴扦㘲㡥敥㙢ち㥣ㅦ〷っ㍤〳㑢攲攸敢㠶愳捦㈳㉦㡥敥㘳㜷昴㉦㜴昴〵慢戹搲㡣ㅣㄹ㐴㡦扥㘸㤵摣㙤㐷㕦㐷㐹㉦㐷㐷ㄷ㜳㜴㤴㈹㜰㝥〴㌰昴〶㉣㠹愳㝦ㄳ㐷慢ㄸ㠸ㅡ㕡户㌱㝡㈵㈵晢昵收戸㝢户ㄹ摤㜵扢昱扢攱㠶㙤敡晤㈲摥㔴ㄶ昳愶挲ㄴ㌸㍦搶ㄷ晡挰昲收㍤昱挶晦㉦攴㍤㤷挱㥣ㅦ㌰户晦昵ㄸ㍡㌱㌶戹㈴㠳㠸㌱摥㔱㕦㤳㥡㤷晢ㄳ㌶㈳慤㐸昲㜴敢敢戸㤳昳ㅣ㙢㤵搹㉡戶㌲㥤㉢㠷慦捤㈲㕣て挱㜴㝥㑢㜷㙣㍥㘷㝢ㄷ㙡扦㍣ㄷ㥢ぢ戰攴愹㐷㉤㡢ㄹ扣晡㔳㔶㔲敡㝡搹㕢㙥㝤捣㍦㔶挳㤷㥦㘸つ㕦㝥㕥ㄲ摤ぢㅥ散攷昱㈶搸晣㜸㔶摥愴攴ㅢ晥㑡摢挹づ晢〰㐰〵㘶㑦㕡㌴愹愱搹㕦づ㔸㥤㑢㍥㐵敢㈸㥣攴㔸㈳捣攱扡晦ㄱっ慡㕤㐸ㄳ㝢愵㝤挲㑡㜶收㉡㘹㔱㘵愸㠴ㄵ㠱〵敤㑦愹捤慢㡤愱捤戸㘰㠰㈲愳㐹搸散㙢㙡昳㝥㌱愸昱㔵㐱㝣㙣ㄵㄷ㔰戰挹㔲㈵㘶〶㍦摣㕥㘲㐸㘰挴㔷挵挸摥搰〶㌲挳㠱〳て㘴㥦㜵㠲㕢㔳昴晥㜳ㄵ愳㠱㕥愷攵捥㥤㐵㈶摡㡦㑤㠱昳慢㡡㈱㐶ㄲ攵戴ㅣ〶㌷㉢慢慡ㄸ摤ㅢ㥡㌷っ〹づ散㡤搷㘹㔹㕤挴㥢昷㡡㜹昳㑦㔳攰晣晡㘱㘸㠲攵㑤愵㜸愳㈶㈳㉦戳改摦㔱㈲㜷搹愸㠲戰㙡慡搵㕣昴愱敤戰挰昶捤㌵㤸ㅥ搷㐷㐶〸〷㜶搴敢戲挱〰愱㔷户扤㕤捣搱户㑣㠱昳ぢ㠶㈱〶ㄷ愵摢挶ㅡ摤挶㠰摦搰扡㡤㔱挲㠱扤㘹晦昹㌶挱攳㙣㜳㌶㍤晢㥡㙤㙡㑥ㄱ㙦㕥㉦收捤㙢愶挰昹戱挱搰㕣换㥢晤っ㙦ㄶ㕡㙤㌲晡挰愲㠳攸ㅢ㐶ち〷攱捤挳愶㌷扦㌲㝦㙦摦愶ㄸ㈸昴敡㥢㤷㡡㜹戳挳ㄴ㌸扦つㄸ㘲㤰㔱晡㘶㠲攱つ〳㝦㐳敢ㅢ㐶ぢ〷攱捤㥦っ㉦㙣㜷㘴㡡挱㐲㉦㙦㥥㉢收捤ㅦ㑤㠱昳㜳㝥㈱〶ㅡ攱〷晥愲ㄵ扤㈹㔵㍡昲挶ㅣ摡挵搶ㅤっ㉥收搰ㄵ㤸搶搵㔳戰挱〹㤳搳㘲㔰㥢づ㠹㘲っ捦搰㡥㔰㝢㐶㑥扢㐵㍤㘱㙡㠳て敤捦㔱㝢㙤㑥㥢㐱挳㐰㕤㑥扢㔵㍤㘲㙡㠳〵敤㝡㙡㌳ㄸ㤸㥢㥦ㄹㄴ㘴〶㍦㍥挵攰愰搵㤰㉡㠶晤㠶〶㍦㘳㠵〳挳敦摢㘱摥㔲㕢挳昳挳㌹㡡愱㐲㉦昸㝦㙢愲散晡捡昶㠳愶挰昹挵挰㔰ㅦ㉣挹㘰㙡㠵换㤵㔵㙡ぢ昲〶愰㡣ㅡ〶㘶ㄹ㄰㉤㥤搴搰愲㝥㕤〰攸㙣㐲昴㤵㥣㌶〳㠷㠱㌹㌹敤㘶戵捤搴㌶㍡㙢ㅥ戵ㄹ捤㌳㙣㥦㑥敤戶㥣㜶慢扡捦搴〶ぢ昰㉦愴昶㤹搰挹挱捦搸㘰づ晥慦㥡ㄹ戹㍣㌲晡㌷㌴昸ㄹ㌲ㅣ〴晣ㄶ散昹ㄹ㕢㌱㘲攸〵晦㥤㈶捡㉥昸敦㌰〵捥㡦ㄲ㠶ㄸ㙤愴捦摡㌲搰捡搲慡㑢慣㌶㠱㘷㍢摣㙤㌰㠴搶㈵ㅢ㑦㔵っㅢづ散㡤搷攵㤱㔱㐳㉦㙦㙥㉤收捤㉤愶挰昹攱挰搰㌵戰㈴㠳改㈸㝡㔳愵㙥㐰㕥㉥㡦㍦㐶㠹㘹㌸㝢攴愹慡〳挲㉡〶〴㠷搶㙤㡣㈲づ散㈸ㅥㄷ〵愲戳㙤㔳㌰㠳㠸㕥㡥摥㔴捣搱ㅢ㑤㠱昳搳㝦㈱〶㈰挵搱攳挵搱㉡〶〵㠷收捤摤㔶挹㝥ㅦ㌶扣扣昹㘵ㄱ㙦慥㈹收捤搵愶挰昹㥤㍥昵㉢㔸㤲昸㔱㈷扣㘱㠲晦㐲っ㜳㈱㡦㙦愸搲挷搲搰㝦㈱捦㐳㐹捣〹〹捤攲㔰㉢昴㠰愵摥㠵慣ㄶ㘱㤹㤲㄰㐳㑦㤴㙡㔱收㑢ㄵ㐳㐵㌲㈰扥㡦戶㜰㐰㡣㠷戰ㅣㅢ晥ㄸ㍥ㄲ挱愵愶㠰㍢摡换〹㈹㡥て㜷㈹㐶㤶㐴㝥㠹㈹攷晥㕡㥢㥣㐱㈷㤱㝦捦㤴敦㔷㈸㘷㍣㑡攴ㄷ㥢㜲ㄹ㠹敢搰㉡挵㘰㑥㝥㔴散㠰敦ㄲ慤㔵ㄷ㐱搳㌳愸昰㑤㔳攰晡戲ㄲ〳㐱〳㝤㔹挹昶㘷㝦攸㠲㍦挶㙤㍢挳㘳〶㥢戱ㅢ搹㡡㥤㤰扤㔰ㄵ昸〸ち摥㑦㑢户攳㝢㍦昸昴〹晥收愷戹㠵〷摦〱攲ㄶ㌵敢㌳ㅢ㥡攴㔸㌸㄰㕢㤹挶㜷㌷㠶挵㤶㘴戰搹㌸㕡㡥㍦ㅣ㤲挵㌷ㄴ㝢昶㠴昰㌰㜶愷㤵㜱挶㐶㤴㡢㝦慣愷挴㜳㘳搸㔹㄰㝢㍥戹挹㉢っ㌵㜹㍣慣つ愷㈵晣㜶捡搰㠲挳㠱つ攸㝥晢㙢㍤㔱摢ㄷ㠱捡搴〵攸㘶㘳㕦挳ㄶ摦㉥㘹㌷ㅥっ戵㌴捡〴㌲㈰愵搸㝡㈵㈷ち㐸㔰换㠲㈳㥢㔷㡤敤晡晥㘷㌱ㄴ㥣づ㜲扢㥥㉣戰㍢晥㌲捥昰攱昴摡㍡搴㡢㈸捡㤱ㄴ搸搸㙦昳捥昱㙣摥㘶戶㠳捤换㌷敤攴挲愶愹㤷㘰㥢捤戳づ昵扡㔵攱愹晤㔶㜸愶㘷㠵愷戹㉢摣攲愸㤰挱愵㠲ちㄹ愱愱㠷㠲㔵㤹㍡捤搳昰㤹戰㠲愸扢搱捡愰戶搵㘱㤴㜱ㄱ㥢㡤㤳㍤㙤㝣慤搰挶搹㠵㌶捡㍥㠲㡤晥愲ぢ㄰晢㠶㈵㍢挳晣㉢搳攵挹捥㠴晣㥤搰摣㕦㤶挶捡っ扥㐲愷㥤ぢ愳ㅣ搶晣愷ㄸ〵愰㔵敤㍣㍢㤷㑦晢挲㍤摦捥攵〳戱捤㠳戴愷〷ㄷ㐰挹㠶挲㠵挸摡㠶㤹攲㘳愸㡣㤵㡢㤰㈸㍥㤴㤳㥥戶扦㑤㘳㠵㘳攵扢づ晢㝣㤲㉤攸㍡㍥づ摡ㅡ摤敤㘹昸ㄲ㈸搹ㅡ㝤愹挳㈸ㅦ挲㙣㌶愲㥥㌶㉥㉢戴㜱戹挳〶ㅦ㝤㙣㌶㑥昲戴㜱㔵愱㡤慢ㅤ㌶昸挰㘱戳㜱㠲愷㡤敢ち㙤㕣敦戰挱㠷㄰改摡ㅢ㤱挸つ〳㍥㙣〸昷㈶㍢户摥攲摥㙣攷昲扥摢搶㡡㌵㥥慤昸ㄱ㤴㙣㠸晥ㄸ㔹晢㌰攰扤戸搴㜷ぢㄲ戹㔶昰㥥㕢戸户摡戹扣户ㄶ敥㙤㜶㉥㙦㍦㙤慤㘸昷㙣挵捦愰㘴㙢挵ㅤ挸摡㕢挱㥢㍥摡〸摣㠵㐴昱挱戸搸搳昶㍤㌴㔶㌸ㄸ敦㜳搸敦㐰晥㔹㥥㤳收愱㜸昳㘵㙢昴㝣㑦挳昷㐳挹搶攸㙤㠵㐶㐳扣攵挱晦搸㍥ち㡡㍢㤴㤳昰㈳㌷ち戳㘱㡤㜷㈸㈳㈱㉣㐷捣㤲户㌵㈲㌸摣ㄴ㌰㔲㔸㡥㌷戲㜸慢㈳㠲㔹愶㘰㙦ち捡昹挹㐷挵摢ㅥ㠱攴㌷㐸㔴㔹㝦㕣戲㝡㈳愳愸㤹ㄲ搵㙡戵昸捤㤹攳昲㤷㤸〷愱慢敤挰捣愷搸㤵㜲㜹昹ㅤ㔹㝣㤹㔰〸ㅥ㐰㤱㈷ㄴ㙢㉥戹㘷敥愷昵㈷捥昳昳戲㌴攸敢㈶㈷搵㈱慥㌷㙥㐷㍤㡡ㄷ㍢摡搰ㅥ㐶㈲㌷摣㜸改㘱㌳戴㐷㈸收㔵㐷㜴ㅥ㐵㈲愷挳慢㠵攸㍣㐶㌱㉦ㄴ愲昳戸㕤㠷ㄳ扦攸㍣㐱㌱攷㝤搱昹扤㤹㘰㐶㜱㘲ㄷ㥤㍦㤰换㜹㕤㜴㥥戴改㔴㜱㘲㈶㤷昱㔳㕦ㄵ㈷攴㝣㡥ㄳ㜱㉥愷㌸挹㡡戵愷挸收ㅣ㉢搶㥥㌶ㄳ捣㈸㑥㤶愲昳っ戹㥣㈷㐵攷㔹㈴㜲摥㜱摥ㄳ㥤㍦㔲捣㘹㑦㜴㥥㌳ㄳ㘲㠷昳㥡攸㍣㑦㉥愷㌵搱昹㤳㕤㠷昳㤶攸扣㐰㉥愷㉤搱㜹搱慥挳㜹㐹㜴㜶㤰换㘹㐹㜴㕥戲改㔴㜱㑥㈲搷㐰㠰㜳㔱㍥挷㌹㈸㤷㔳㥣㕦挴摡换㘴㜳㝡ㄱ㙢慦㤸〹㘶慡㌸户攴㑡㔴㜱㑥挹攷㙥戳攷ㄴ攷〹戱昶㉡搹㥣㈶挴摡㥦捤〴㌳㡡攷扢攸扣㐶㉥㑦㜵搱㜹ㅤ㠹ㅣ㥥㍣㜵㐵攷つ㡡户㔹㍡㝦㌱ㄳ㘲㠷愷慤㥣㝤㝢㤹㘷摦ㅣ㔸搷摥愴ち捦㈳㈹晥ㄶ㜳㍣㠵愴㡡户㤱挸㔵㈱攳㤹㈵摥〱搷㍡㐲ㅣ搷捣㙢㝦〳搵摥〵愹㉣㔱㌲慣挹㉣㔰攵昰ㄶ搵扦㔳昵ㅦ㠶慡㡣㙥㤷㉡㐷戹愸扥㐷搵昷つ搵㈷昰㈳捤㉡戰捡挱㡥晦㝤摡㠷搴㉡㔵㌲捣㕤〶㌹摣㐵敢㘳㐳㑢㠶慦㑢㡢挳㔸戴㍥㌱戴㘴〰扢戴㌸㤰㐵敢㕦愰摡㉥慡㤶㈸ㄹ挷㉥㔵㡥㘷㔱攵㕦戲㐷攳㘴㈴扢戴㌸愲㐵慢搴搰㤲戱散搲攲㤸ㄶ㉤扦愱戵〳ㄹ㠱愳㥢㕤㘴ㅥ㈱㡥㙡搱ㅡ㘶㘸挹㈸㠵戰戰㉢㌸㕡㐵㑢㌳戴㘴昴㔱慢挰ㄶ㐷愱㘸つ㌷戴㘴晣戹㙣㜱ㅣ㡡㔶㈵戴戴ㄱ㔴㉤㔱㌲っ㕤慡ㅣ㡥愲ㅡㄲ㠳㔵ㅣ㝢摣㔰㔹戲㔹㐵㑥㡡㥥㜴搲㠷㔵㘵搵晢㤶ㅤ㌷户攲㤲ㅤ扦㝢昹愲㍦㥣㌰晢昵㑦㝥昰㠳㍦扣㝡搱昶㑦敥敢㥡晤挰搵㔷晦㝡改ㄵ摢㕦ㅥㄵ扢戲攴㡥て摢慦㍣戵㙥晤愹㕦㡡ㅤ㝤挸攲㔳㡦㕦㜷㔴摤慡㤱搳㑢㑢㠷つ㥢㍡晡挱㝤愶㠵戶㝣改㉥昵换㘷昷敥㔱㌲㥣搹㡣㤱愸㤰㘰挹ㅥ㈱づ㙢㘹挶㈸戶㜸戴戴㌸㘴つ㉡挵㠱㉣愷挹㕢ㅦㅢ㤷戵昹㈸挷慢ㄷ〷户〸摥㌴〵ㄲ搶搸㡢㤶㌹愲㐵昴ㄷ㐷ㄹ㡥㜲ㄱ扣㘱㉦㌳㡥㘵㌸戴㐵昴㥡愳っ㠷扢〸晥㙣㉦戳㍦换㜰㡣㡢攸ㄵ㐷ㄹづ㙢ㄱ扣散㄰㜰㈴㡢攰㈵㠷㠰㠳㔷〴㍢ㅣ〲づ㘸ㄱ扣㘸ち挴捤㠹慣㥥愳㔸㐴㝦㜲㤴攱挰ㄵ挱昳づ〱挷慡〸㥥㜳〸㌸㍣㐵昰㐷㠷㠰㈳㔲〴捦㍡〴ㅣ㠴㈲㜸挶㈱攰戸ㄳ挱搳づ〱挷愲〸㥥㌲〵攲挹㜴㜰ㄵ〷愰㠸晥㔰㔸㈶挴㠱〲〰昰昵㉦㈴㜰挶㜲㠸㠸攲ㄳ㠵㡡㡡挳㐶〴㡦摢㡤搷㠲慢㌸㈴㘴㌶慤㘳㡥㥤㉤戹㤹捣戱ㅢ㈵㔷捦ㅣ㔱㤵㕣〳㜳㙣㤹攴ㅡ㤱昰戳〱晤㝣ㅡ㌹晦㝣㉦㍢㡢㤲㝣㠱㤹㑦晡挱攴挲㥥㕥攳㉦愳〶㤲晣㍣㙤捦㐸昳攵搳改㌹㥤㔱㌹㑥㑥㜷㐴㡥㈵㘵挶ㄹㅦㄷ攵㥦㜹愵捡昴扣搱戱㑥㠹攸〳㌲愲收㥢㔸㝣㈷㡥搵㐰敥㡤㈹㔷㠳㔶㉣㌷扥㘲摦〴㌴㜸㈸㉤㤷㤲慣㈲攲〲㕡㌳ㄲ㑡㄰㠷愰㘰㈲㔳㠲扣㡢㉢㍤攰攲㑡㑦戸戸散ㄱ搷㘴敢㘷㔳〶攱〸ぢづ昱㈶戲㤵昵㡡㘷㙣㤲ㄵ㐵攴㠴慦㐴㐴敥㉣攸㔸㐷挸捡っ晦ㅦ户㕢搱ㄷ</t>
  </si>
  <si>
    <t>㜸〱敤㝤〹㥣㕣㐵戵㜷搷捣昴㥤愹㑥㈶搳㈴慣〱㘱ㄲㄲ〸〶㠷摥愷ㅢ㠸㔹㈶㉢㈶㘴㤹戰㠹㌰摣敥扥㥤㌴㤹㥥づ摤㍤㔹搸㐱㐴㥥晡昱㈴㠲㉣戲戹㠳㈸㍢ち戸〰攲㠲㡡㈸㡡㈲㉥㡦昰㥥ちち㈲扣〷㡡㍥㤴昷晦㥦㝢㙦昷敤㘵㈶㈱挶敦攳晢晤摥㥤敥搳㔵攷㥣摡㑥㥤慡㝢敡㔴摤㍢㍥攵昳昹摥挰挵㕦㕥ㅤっㅣ㌰戸戵㕣戱ち㝤〳挵攱㘱㉢㔳挹ㄷ㐷捡㝤昳㑢㈵㜳敢昲㝣戹搲づ〶㘳㈸て㝡搹㍦㔴捥㥦㘹㜵つ㙤戲㑡㘵㌰昹㝤扥慥㉥摤〶晡㐴攷ㅢ㜴㈳㥡愹㜴〷〱戸㝣摡㈰攸㈴攸㈲搰〴〱㠲〹〴㑣慥扢〹㈶〱㑣散〱㔸㍢戰㘰㘵晡㜴㔴㘶戰㔲㉣㔹㠷昷ㅥ㙦ㄷ㌹㈷ㅣ敥ぢ昷㐵㔳愹㘴㕦攸昰摥㠱搱攱捡㘸挹㥡㌳㘲㡤㔶㑡收昰攱扤慢㐶搳挳昹捣扢慣慤㙢㡢ㅢ慣㤱㌹㔶㍡ㄴ㑤㥢戱㘴㌸ㄶ㡦攷㤰㘶㘲㄰㌹ㅦ㍢戰㘰㔵挹捡㤵㜷㔷㥥㝢㌰捦㤵〳ぢ晡㡥戵㉡扢㉢捦挹挸ㄳ㔹㉥㉣ㄶ捣晣挸㙥捡搴捦㉥㠹㉦戴㌲㜹昶㥤㘵㤵昲㈳敢晡㔰敤㍡㐱㈳搶摦㌷扦㕣ㅥ㉤㙣愴ㅡっ㔸挳挳㙢慣㥣昴㔹㘱㘱戹戲捡㉣ㄵ捡ㄳぢ㤴㥦㔵戲㐶㌲㔶㜹㔲㘱搱㤶㡣㌵散㌰㤶扢ち挷㥢愵㘳捤㠲搵挱㐰㑦挱敥挳㘵㔹㙢愴㤲慦㙣敤㉥ㅣ㔷戶搶㤸㈳敢㉣戲昸ぢ㑢㐶昳㔹搵搱㠱㡦慦晤搰㔶㌵㤳㡥㐲㝤ち〳敢捤㔲㐵㘲散挲㜰㉢㕥㡦扡㐸㉢敡敡㐵㤵敡㙤㐸挵㍥ㅢ捣ㄷ摥㘵㤵㐶慣㘱ㄶ挲㥥㥣摤挰㈴〲戲晢愱㉡㈹户㌹散㈵㌵挱ㄹ㍢㙣ぢ㑢㌱愶㌰㤷攵挵㜵挷ㄶ㑢〵攸攴ち换ㅣ㤹ㄳ敡ぢ㐵づㅦ慣㘴ㄷ㕡㥢ㄸづ挷て㕦㕥捣㤸㤴昰㥣㤰摥ㄳ〹昴㕥㑣扡㌷挰扥㜳愶㉦ㅢ挹つぢ戱昷ㅤ扤㈷㔹㘶愹㜷晡㈱㡢挲㈹扤て昹昶〵㔰ㅤ捦㘲〴㝢ぢ收㈸㙡ㅢ㌲摢㠶搲㙤㐳㤹戶愱㙣摢㤰搵㌶㤴㙢ㅢ㕡搷㌶戴扥㙤㈸摦㌶㜴㝡摢搰〶昰戸㔷㔷㘷㘷㥢㜳摤戹攱㡥ㄳ昷愹ㅣ㌷㜰挵㠲ㅦ晤攸㜳㙦摣晦㔵挵㐱㉢㘳㝥㉡〲㌳搷㤶昲攸慦搱㘱戳㜴昸㡡晣挸㥣㐸昴昰攵昹つ搶㜰摥㉡㔷收㐴㘲㠷慦㌰户捣㠹㐶昴晥㘰搵〷〰ㄸ㙦〳攸㤸戳㈰ㅣ搷〷ㄲ㜷㄰㠰㔲摢㔱㕤㔶㜹㠶昹㠷㍦扤敦捡摦㉣扤㘹昲慡㠵昹昹敦㉦昸㌹㌷㐴㕢㐹扣戱㌳ㄷ㘳ㄲ挸㤸攵㡡愳㘷㥣㐹㜶慦ㅡ敥㔸ぢㄷ㤷㌲晦㝣㉤㐴㈱扢㐵ぢ昵㌴㑡㝦㍡㠰㜱㌰㐰㜰捥㡣㘵攱挸㈱搳愱㔰搳て㌹㘶㐶㌸慣㘷㤰㍥ㄳ㐰愹㥦㍢扤㌳昷㥡㐳挲㌳户㑥㕤㜲搵〵㕦昹㍦㝦㍣攴㡢㐷㉡㑥摡愲〹㠷㈲㌰㝤㠱㔵㌱㔷㉤㕡戳㔶昴㈰攵㔱㠳㜰㐴搴㈰ㄲ搷戳㤸改㘱〰挶摢〱愸〶〹㍤㥢戸挳〱㤴晡戱㔳搰ㄵ㜷㍤ㅦ㌸昶㐳㠷づ㙣㉢捥㌰㉢㉢晦昲㝢㍦扢㜳愷挶㌴㔴〵搳㡡㘷㔶㥡挴ㄹ㘵㘰戴㕣㈹ㄶ㌸愵散㕥㥤昰㌹㑡愱㘶戶㔲㔱㝢㙥戲㙢昴て捥㑣〷㌷攴捦㤹㘹攵挶㡡㌳㌳搹㐵散ㄶ戵㔰扡㡦摤㜱〴㠰ㄱ〲戰㐷㙡㤸戸〸㠰㔲摦㜷扡攸扦愷摥戳愶㙦挱晢㤶㝦晡㥡挵改搹㠷㝥昲〶挵㕢㠰攸㐲っ㠱㔸挳慣昰㡥㐸㉣ㅥち㠵㍣㍡昱㡥〸攲挰㜰㝥㜸㐷㌸挱戰㡥戳㤸〴㠰搱て挰愲愳㍡㐹㕣ち㐰愹㙦㌹㐵晦挷㑦摦㝢昴挴㐷搷㉥晢昲㜳敦つ摥戲捦搹摢ㄴ㡤〵㈹晡㈸〴づ慡㥦㔶挳攱㤴㜷㕥挵㉣㜹㌴㜳㥣〳㘰扣ㄳ愰㘷愰㔸慥昴ㄶ㜳扤〳收挶㝣挵ㅣ搶㜳㐹㥥〷愰搴〳㑥㠱晥扥㠵愵挲摢㕥㌹昶摥晦㍣敡搹㙢慦敤㜸愷愲㘱㈲〵㉥㐰攰㘰㙦㠱㙣㈵㉦户㑣㈷慥〷挰愸ㄷ〲ㄸ㡢〰愶㉣ㅢ挹㔷昲收㜰敦ち戳戴挱慡昴づ挲㘸搲㡢挹戲〴㐰愹㝢㥤㠲㌷捦扡㕦㤵㙦㤸戸攲戶摦慥㝣攳捡扢㑥昹慣攲㌴㉥收搲㌲㌲ㅦ〳㘰扣ぢ愰㙥昴扥㡢愳㜷㌹改㉢〰㤴扡搳挹散昱㔷㥦㜹晡㤱扦捣㍤昶㥥㤳晥㌵昳敢晦晥昹㘹㡡㐶㤵戴㘲㈵〲㠶㍤㐶昴㉡㈶㕣㑤挴ㅡ㠰挹慢㡡㘵搴戴㌸搲㥢ㅦ㜱㉡慢〷挹戱ㄶ㐰愹㕢㥣慣て㔴て扣昰搴ㅦ㙦ㅦ戸㉣㜷昴捡㤹ㄷ摦晢ㅢ㐵㔳㑤戲㍥ㅥ㠱㌷㜵慦㍢㠱戹㥦〸㘰㥣〴搰晡㕥户ㄴ扤昸㙥昲㥤っ愰搴愷㥣㕡〴㙦㍡昹愱㡥ㄵㅦ㕣㜴攳㈱㐷㍣㤹搹㝥挰㜲㐵㕢㔱㙡㜱ち〲㙦慡ㄶ愷㌲昷㈱〰攳㌴㠰搶戵㔸㠱㕡㤸攴㑢〳㈸㜵㥤㔳ぢ晦搵㙢㝢㕥昸昳て收㝤敤敦〳㐷ㅦ㜴收ぢ㡦㑦捣㠲扣摡戱〱ㄶ㤶捣捤戰慡㙡〶㕢愴て㜷晢㥤戱㔴㘱愸收攲戹晥㕣㌸㥣㡤㠷捣愸改愷㔱昰㘶㑣愲㠹戹ㄳ昲㈳搹攲㘶㤹㠹づ㔸㘰㘲㔶慣㥡㑣戳ㅤ摡㠲攲攸㐸戶扣㝦㙢攲㘰挵慣㔸㔳ㅢ㘹戵㑣㥡㤲つ挲㠲戴捡㔲摥㠱㡤挹㡥㌷㠷㐷慤昹㕢昲㌶昹㙤つ㘴搸㡦挵昴搸搴挵㈵敢㡣㉡戵愹㐶昳戱㍥搹㈴㜹㌷戵搲㈶搹昵敡ㅤ㔸㕦㉣㕢㈳㔲扤搹㠵㔵昹捣〶慢㌴㘸㜱㜵㘳㘵愵愹㝢㤱攴ㄸ戱戳㔷㡥愰愱㌰㑢戳搳扤搸摣愲㉤ㄵ㙢㈴㙢㘵㔱摦㡤㔶愹戲㜵慤㤹ㅥ戶昶慥㘳戱换〴㘱扦㍡昴攲㘲㘶戴㍣㔰ㅣ愹㤴㡡挳昵㤴昹搹㑤㈶っ攷散㡡㘲搶㠲摤摢挱换愷㝣敤敤㑡昹摥摥㜰ㅦ㄰攳㤳昹㤶晢愴㈳㍣㕤㑣㌳㜸摦㝡戵敢㕢㠳搶愱ㄵ挳ㄶ㜵戲㙤挶づ㌲㤳㝣㤹捤㘱㘳㌳㝡摡挴愵㈰戹㘷㡤捤㉤㜵慣昶摣㍦㤷戹慤㙤㡡搳晡㐵㥢戰戸㔸㙡㡥㘴㠷慤搲戸ぢ㔹挵ㅡ㘹ぢ挰㝦つ㐶昳㤸搲敢〰㠷摡愲戶晡㌷攷戳㤵昵挶㝡㉢扦㙥㝤〵㌸㉣㜶扢扡㈸摡愶㑢慦〳㑡慦㈷挸〳〴〲㍥攳㜴㌲ㄹ〱扤挱㡥晢㘹摦敦㤴㠹㔳户㙣攱㜲㕡换㌲〹㙢摡戲扦〰㌳戸摣摥摥慡㤵㑢捤昲晡ち搵㜳㕣㈲ㄷ㈸㝡㔸㌲〵昰㜳㐵戱挳㔵ㄱ搳㜴㜰昱搷㕤㔸㘸攵㑣㉣戹㘵㜴㉢搳㉦㈶㤷ㅦ搸㜲㐶㜳戹户っ㘳㘵㡢㠱㄰〶晦挴〲戵摦摡㔲㔹㘸㔶捣捥〲ㄶ㡥攸㈵つ愶搹㤲捡づ㌱㘵户攰摣搴〱㈷㠶ㅣ㠲ㄲ昴攴㌲㐱㄰㜶㑥ㄸ㌸ㄸ㉦扥㜶〷㡥摦〸搴㥤搶㤳搱愸攸昵ぢ㐰慣㑢戳㑢慣㤱戵㕢㌷㕡㘵戲㜷ㄹ攳㡡戲㜱㜸㠹捤㤶㐹ㅦ㔷挹て㤷晢㔰搳㈵愵攲攸挶摤㤹て昳搲㈳〰敥攵扦っ㕡扣昳㙤愲愳愷㜳ㄳ晢㘶㘸挸搷挵摣㠸搱㕣㜳㙡㙡㉢㌲㝢〳㍦㜲改ㄲ㝥〲攳搱晣㕣㠸扥㤹挵㌲敤㥡㠹㠵㤵㤹昴摡㤲㈵换晦㉥㠹㐰摡摤㠵ㄳ㡡愵つ改㘲㜱〳㑤昸㐹ㄲ㉢慦户慣ち㤷搴ㄳㅣㄷ㠲戸ち㤴㙡㙦慦㕢昶㝡搶摥㕣㡣ㅢ㥢〰扡攷てて昷扡㌹㤶㡤捤㐰戵㘳㜱㙦㙣㐱㘰㕦捣攴搹搱㑣愵㜷戹㌹㍡㤲㔹摦扢㈹㔴㑡昵㙤ㄹ㉥ㄷ搴晢搱㝡㉥㔱㡦戸㍥昸愷攱ㅦ摥戲攰收〹摤㍦㜸攲〷捦㍣慢㉥㜶〸㑤敢㘴慥㜹㜹㤷搶㘷〱愸㡢挰挶㔹〵攱晡㑢㥦㠳戸㍥㤷攰㍣〰捣つ㈲㙤㑣つㄷ搸㔱挵㜵㌳愷〷㝤㈱挱㝢〱ㄴ搷捥ㅣ㥣晡㈲〰昷㔲㘷㈱㝦昶戹昴ㅢㄷ摡捤晤㜶〹戰〱㍤づ㑤ㅤ〴づ昶㥤愶慣㌴愵愳㈹ㄹ㜵〶㌲㙥㈹㠰㡤づ愱㘹昱㍥つ挹挶㌱㔱敡搶换ㄴ㔴㥤㠹㌲㌱户㌸㍦㕣戱㑡㜲ㄷ敡挹攱挷昶㑢㐹扣㥢㜷摥㤲㤹戱㍤㍥㝢收〶㜰昳㠵㈳慣戲戵㘶㡥㌴摤晣敤㝢攳晦㥡㌸㙦㌹ㄳ㐷っ㥣㍡㌳㘷ㅣㄳ〲㑡搳㘰攴㡣捦散㔱㈲摥摤㕢㑥㐸愲㔲㝤挸戹㕥挹挸摦㌸㝢㝡っ㉥昰㝢㤵㤰摣愱戱㑤ㅦ㉡㝢戳㤲㌲搱㤸㘶挶晦ㅡ㘹慤㜶ㅢ㙣㈳敤㌲〸㑥㙦㈳昸〸挱攵〴㔷〰愸搳㌱ㄹ㜱㥡晤㈰㉣愳愷㌱てㄶ昱晢つ㤹て慦㈴捦㔵〴㔷〳㜸愶搹㡦㈱㙡㕣㑢㐲戵晦〳㑡㑤〷㐲㈶摤敢㐸戹ㅥ㘰攲つ〰挷㉥戵㠶㘱敡敦慥捤〱晦っ攴㌹扥㜱〲捤攱慤㙢敦挲攰㔶摣㤱㑡挵ㄱ㌸ぢ㘸㌳捤捦挰扢㕥㔶愶㔱㔸㕥ㅣㄸ慤ㄸ㠵愵㜹晣㑣㉣慣戱㌶㕡㘶㘵〰㑢㌹ㄸ㘴换攱ㄲㄵ㜳㙢㔹㜶换晦㑢㜳捣搷㠱㈶㘰㤵㕣戳挸㔴攳戸戵つ㈳㐷扣㝤ぢ㡢搸愹戱㘴㡦㠹㘲㌷っ㤸搶㙦㐱㝢换愷㙦㐴敤㙥㜸昹㜳㐷捤扣敥戶㌷㥣摦昳愰㝦㜲改㠳㐱㙣扥〷㝦ㄲ搸挰㜸㌴㌵ㄳㅣ搵㝢戰㜱ㄳ㘲敤㔰〳晢㍥㝣㍣戲㙥㜹ㅦ㍥捥㈱㌴戹㘹㘷㈱扤ㄸ㈲㥦㐷㐰つ㠲慤戵㈱㜲㉢挸晡㌶㠲摢〱㍣㈳攴㑥㍢慡づ挳慦㡣㠹扢挸㜴㌷㠰㥡つ㈰㠶挸㍤〸戸㤷㍡〶㘵㔴つ㤱户〳摤㉣㠴晢㠰つ攸㜱㘸敡㜰㜰㔴㠵攰㌱㐴收㡤㈵㠰戹づ愱挹㝤㑣㥦收捥戹㘸改搱晥晦挲㌳㘰晢〳㜶㜱㡤㙢〴㜰昹搴ㄱ㘸慣㜴攷搷ㄱ搰て〳昸挳〰㍢攳㙣摥て㝣捡㔴㘹㤵㔱㔹㘵㜵ㄶ攰㡣㕥戱慥昴收㘷㤸㐹㐸㈸慢㌶㍢㠳㠹㙥㔴㝣昵㙥㠴慢挰愰ㅢ〱户㉣㈳扢㙢〸慣㔸愶戸㌱捦㜲戰㥡昷敥㕥㕢愲敤㔸昱摡㤳㔹摤㉡搳攰㌵扥昸㔰㑦〸㡡㡢慢摤㌵㥤晤摦㉥㙦㜷搵㥢㌲戰慦晥㜹昶敦扣㠶㕦ㅢ敢昳㙤㝦㈰愰㐳㠸挸㈴搲敥㘲㠹昸ㄶ㐰㘰㕣攲㜸〹㔵〴挹慢㌳㡣昱ㄸ㘲〶㉣㌸㘸㤸㍤搳㠶挶㥡㘸㡥㜰〸㑤㥢㈰㜱㘴㈱㌳敤㡦㄰㔰敦〰㕢敢㤹昶〹㤰昵㑦〸㝥ち攰㤹㘹㝦㘶㐷㔵〲扦㌲㌴㥦㈲搳捦〱㔴ㄲ㐰㘶摡㕦㈰攰㕥㙡〶捡愸捥戴晤㐰㌷捦戴㑦〳ㅢ搰攳搰㔴ちㅣ㔵㌹㜸㘶摡愹㘳〹㘰㍦㠷搰戴ㄵ挳捤ㄵㄱ挰㜳〸愸㝤挶ㄴ挰敦㐱搶捦ㄳ扣〰攰ㄱ挰㡢㜶㔴捤挱慦〸攰㡦㘴㝡〹㐰捤〵㄰〱扣㡣㠰㝢愹㐹ㅥ〱ㄸ晦〵㜴搳㡥㑥㤳敦攲㔵㜰〵㌴㜹㥢㠵㈵㌴㌵て戴㔶〲改ㄸ㑢㈰敤づ愱㘹慢㘸〰㌹㠹㐰晥㡥㠰㔲㘳ち㠴扥ㄶ捤㈹㐵户〱㜸〴挲昳㌷㠸慡㠵㐸㉦〲昱㤳挹〰㔰摣㌱ㄲ㠱㜴㈲收㕥敡戵扦搷㌴挲搰愰戴摣㙤㙡ㄲ捡〴㜰〶㌴昹㥢㠵㈲㌴挵扤愹㔶㐲㜹ㄱ〵戶㌴㐸晥攰㄰㥡戶戱戸㝢㌵つ㕦扤㈷㡢摢㡢㘰㙦㠲㝤〸昶〵㔰捦㈲㈹㠷㡥〶搷㜶㈰㉥㠴ㄹ晦㑤晣晡昴㔴昲散㑦㜰〰㠰㐷㔰〷ㄲ㐷㌳ㅥ挶晢㌱昸ㄱ㘱昵ㄲ㌹つ㐰㉤〷㡡挶㌶㌶扤ㄱㅤ搳㘲攳㜶㕡戳〰㘶㈲㐹㐰㡦㐳㔳摣㙢慢〹㠷ㄶ㥢㍤㠷㍣㌱㤶㜰㝥散㄰㥡戶攵㔶㈱慤㘸㑣ㅦ慢晤戸㈳〸㈰敢㉦ㅤ〲㔹㠷〹㈲慣㕤捤㙤ㄴ戳愳㙡㌵ㄲ㠸㄰攲㘴㑡〰愸㐱愰㐴㘳晡ㄱ㜳㉦昵〸捡㜰攷㄰㈳〵㑡慢㙤扦㈶㠵㌹ち㡣〱㑤昶㘶㜹〹㑤慤㐵〹㌵㤹㙣㐶捣㤶挹搷挶㤲挹㔷ㅤ㐲搳㝥攲〹㐸㉢㌲㔹㠸攲搴㤷挷㤴挹㘲搶㘶〹挱㔲〰㡦㑣㡥戱愳敡㐴㘴㈴㌲㜹ㄷ㤹㤶〳㈸敥㈴㡡㑣㔶㈰收㕥敡㑥㡦㑣昴㐹㐰㌷㌷㜲㌵昳ㅣ㡦愶㑥㐶扡㔶〲戸㘹㉣〱㝣搶㈱㌴㙤㘵㥥㡡㥣㐴〰敦㘶㤵㍦㍤愶〰摥〳戲㍥㠵攰㔴搶慥愶ㄴ愷搹㔱㌵㠴㡣㐴〰㈶㤹搲〰捡〴㑡〴㤰㐱捣扤搴戵㕥〱㥣〶㜴戳〰搶㠱㍦愰挷愱愹㌴搲戵ㄲ挰戶戱〴㜰㤹㐳㘸摣㐵昵㜳㔷收㑤散㝥㑤㘰㠵㜳挷攷慤捤㜴搷㑦捡搵ㅤ〲改捥㉤㉣ㅥ㕢慣㉣捣㤷㌷づ㥢㕢愷攴㥣挰〹敢慤ㄱ散晣㤵戰〱搸㠰㉢㙥摣㘸㘵㜵㙥戰㌸㕡捡㔸换ㄶ扥ㄵ㜶〶搱㍥㜴㥤㙣ち戶㈹㕣扢戶搹㠵㍢㤲㠲㤶㜰㌵攰攷ㄶ㔵攳㥥㠵挷摤㔵昳慣〶挱搸㔳㤳攸摡㝣㘵搸㥡㤰ㄳ扡㠴扢㜲㤰㈲戶㔳戳㥤戹戵敢攱换㕦搸㥤㕢㔲捡㘷㠷昳㈳ㄶ㍢〳摥㕡㙥㍣㉦户搶㘱敢搴㍤㕦搰㥤㕢㕢㌲㐷捡ㅢ戹ぢ㤴搹㍡戹㉥㈶晥ぢ㝦㙥㐱㝥愴㡣㘲攴㈸て挳㍤戹挱昵挵捤㌸㤱㍡㕡ㄸ㔹㘲㙥㉣扦㈵㝡愵㌶㠲愴㙢㔴㥢㙡㙢㔳㕤㙤㕤扢摡㍦挶㐶攴戸㌷づぢ㡥挸㘱挱㕥愸㙡愵㤴㑦㡦昲㑣〶㌵挰㐷ㄳ戶㠳㐰扡搱攷㕦㡦搰㌸㑥㑢扡㍡㥤㍤㙤敥搷戲扡㜵㐷愲㕡㙥ㅤ㔶㑦晡戲攷昵ㄹ㐸㌴戱〴㜰捣㤲攳㤶搵㑥㌲晣㐳攷㙥晤摣ㄵ㙤㜴〸㌵㉡㕦㜵攳㤸昳搷㈴㕢㡢㠸愳㔲㘱㜰㐲ㄹㄸ㙢搴捣㐰㑥㜸愸愴㤳㙡挱挵搸㝢㥣㤸㕢㙥愶慤㘱㙣㤹ㄶ捣捡㈴㍢㐲〷㉥づ㘵㤶ㅤ摡㐰戱㔰㌰愹㜵搴搸挱㡣㌹㙣㜵攵收㡦㔶㡡㌸改愸㜳〰愲㥡づ捡摣〲㤴戹㐵㔰ㄳ㜳㙢㜸㤴㐲挲捣慢戸捥㉣攵㉢敢ぢ昹㑣ㄷ㈳㍣敥昰㤶㔰㔷㑣㈱攲㤸㠳㐰㜹戹搳㐹愳㐳搲㜶捤愱扢晢攰㝢愷攸搸晤㔰敡㌶㘵攰㑦敤愲ㄷ〲㤳㡦摣㔳㌴搵搰て〳㑦㘶㈳愹挸㑢敥昱昳㤷捥〳㑤收㈷戵㠱っ昸敡㔱㐰〶昸敤ㄸ〶ㄸ㜷ㅢ戶ㄳっ㠱攵㐵㌳扢ㄸ摢㐵挵㔲愷㜳㑥扣ぢ㕤换搹愶ㄴ攴挶昸〰捥㕡㘰攷㙦㔳㍥㙢㤵扡㠸攰㠹慣づ㙥愹ㅢ㜶ㅦ㔲㌶㍥扦㝦㐲㔷慢戲㤶戹㜹捤㜰戶ㅢ扤挷攴㤷㌵攵晦挲敡攴㕣㑡㍤㄰㘰摤昴㈶戴㐳㙦㘶㥢ち㠸戲㍤つっ㕢挸戰ㄵ挰捦㈱摦搸㌷昵㝢搴搸挹愶挹摣㐱晦㐹〷晤㈶㕤慥扦挴㉦つ㤹攰昱㡦ㄸ戶㕦愴ぢ㘹㄰㉡㤴㡤㐱㘸戹㤵つ搸㔳㉣㕤捣戸㌹昸摡摡㍡搰搵㐶攳㍥㕥㔳戱捣㘲搰㤲㝤㜴挵愵扤㜱㈶ㄲ昷㜲戰㈰晦愱㌱捦㉣㌷㥡㤵㔸捤㥦㡤㠴㌰攲㑢㠰慥㌴づ㈱㈶挰㙣昵㌹愰敡㜳〱ㄴ户㔵㘹ㄶ㜸㙥㘲敡ㅣ㐴㜹㈳昳ㄹ㔴㥣㝤㙡挷㄰㜷㌸㜳慡㜳㤱㡡戳愷㍥㥦㤹㥦㠷㄰㈷愵慡㤲㕥〸散㡥㤵昴〲愶挰㔷扦㤷㤹㌸ㄱ㜵㈱〲㙥㔳散㥥ㄷ晢攴㈲㌰攸昷㤱昱扤慤ㄹ㉥㈶挳晢挹㜰ㄱㄸ搸晢挶㈵㠸㑤㜷愵扡愸㕣挱㙣〵㝢愵㜷㡤㠵㐳㉥愳㔶㉦戶㈶㝡㡦挳攱挲㈶㘳つ㜲晤〰㤲㐲慥㤷㜸捡攲㜲㍤㄰㤰捡㝣㤰㘵㝤〸挰㝦ㄹ㤰攳捣挵㜰㐴㝢㜶攰㈶㠱搹挸戱㐸㑣㤳慣搷攲㝣〵ㅤ㍥㌱〷㠰愰㙣慤㑤㤵改搳㤳㘸㜶搵㌲㍢愸㤹㔴㘷慡ㅤ搸㑣昷摡㙥㌳㕡㤰㙤慢捥㘳捣敤㠸㐹慣扢ㄶ㜵㝣㉢㤹㝢捡摥㐰㜱㉣扥㜱捦ㅢ搷攴捥摢昵㍦㘰ㅣ㡡づ昹昴愵㔴ㅢ㠵㍦愸搰扦㈲㑣㕢㜱摢づ㔵挴戳敦㑡昵ち搰㕥戴㜱摤捥挶晥戲㤱㌲愶摢㠰ㄳ挳捤㜴㤲ㄳ㕣㌹㕡愹愳㤸㕢愶㌸ㄴㅣ摣㔸㌹〲ㄳ㈸㘳㤶戲㙦㤱晢㈷摡㘶㕢㝡㜲㉢摣㐵㉢ㅣ㤹昰昲摣昵戰慥晡戰㈳敢㡦㠰昲㘶戶慤㜹ㅣ慢㥢攲慥敥㘶㜶㌱挶挷㑣愴ㄷ散愷㑣㘴㐹戴捡挲㝡〶て摥っ㕢㔳㈴㐱㌵㉡昷ち㥤㥢㥦㉥挳扣慥搰㜰㜲㐲㌲搰㜵㙥㡤挵攷㑦㌶㔹戰㜳㥣搰慡㑣〵㠷㌴慡ㄹ昰〴攵㕢愷㠷㈰㤱づ愷㤷㤴昴㤳㌱捥晣㔶摦〸㡥愱㕤敢㔵摥㍣㜳㜲扤㌸搷㜷捤搵扣㙥㥥慢捥摡昳搶㈵捦㥣㜹昹㕣㘷搱㜵㌹戲ㅦ挷㕣挷㕣敢㍤㘳挰㤱㌴挵㍤晡㘲捦㜰㌲㜹㑤㜴㜱戴改扢戹晣㉡㔵㜰捣㤸㡦㐱昴㜰攸っ挳攸愹攴㘱扥づ㙦㥤㤴㕢㌶㤲ㄹㅥ捤㕡㘲晢扡㜳戶㤸挰㙦㠹晥愲扢搳ㄹ㔱攳挸挵ㄱ捡㌲㍣㜳攸ㅥ㍢摤昵㌵戰扥っ㘵捡㘴㠷㍣〲晡㈳捥戸扢〲ㄵ㜹搳〷㍡〲㐸㌴戹㜶ㅣ㐹ㅥ㘵挳搴搶㠴攲㥣挶扤昹敡㤹㄰ㄹ㜱ㅥ戶攵㐵㍣〰㠶㌵戴〷戵㌴㙦愳摥ㄲ晤㠴㜶摡摤㠴ㅤ慦㕤昶㍥㌰㤳敡昵搲㜹㝢扣晣㐲攵て㤹ㄷ攷摡㉥〹㥦扡ㄲ㌴摢㤸扢ㅣ㝤㌲昵搸㔵挷昷捥㠲晤捡攳扣㔸晥㥡挳㠷攱㘹愵戵㐵㍣戴㈱愶ㄶㄷ挱㙤戵㤵戰扡ち㜱戱攷慥㐰㘲㜵㌵㘲戶㍤㘷㜷戵扥ㄲ搸ㅤ摢㜳㍣ㅢ〲㐶ㅣㅣ㈱㍢〲晣㉡ㅥ〹㜱敤㌹㔲〳〱敥㑡改慢ㄱ搶搷〰㈸ㅥㄷ㘹挱昰㌱㌲㕣ぢ攰扦ㄱっ㡤㜳搰㤸〷㈰㤸㌹㑥搱挲㈰敦㉡㜰㘱㠲ㄱ㙣攰昴㉣づ㜸㘰〱㘱㑣攸扡〱㜴㝤ㅤ戲晤晥愳㡦㜲摦挴愷㍥〹攰㤶敦戱㥤慦㘷昹㌷〰愸捦㠳愱搱㜶扥ㄵ㌸㕢摣㌷㠲㘵㉦昷㜱慥ㅤ㕢捥㍣㌲㈰㤲晥㌸戳扥ㅤ戱㍡换昹㤳挰敥㔸搲㜷㈲ㄹㄸ㝤晡㔳捣挴㠹愸扢㄰㜰ㅢ攲戱㥣㍦つ〶晤ㄹ㌲摥摤㥡攱戳㘴戸㠹っ昷㠰㐱㉣攷㥢ㄱ㥢搶㙣㌹扢〷㍥㤷ㄶ㑢昹㌳㡢㈳慤っ攷㕢㤰ㄲ㠶昳㝤㥥愲㡥㈴挶㌶㥣㍦捦愲扥挰愲扥敥㘱昰㉣昰㙥㈵挳㙤㘴㜸戸㌵挳敤㘴戸㠳っ摣捦㜴㥢晢㈳㈰㥣㌵捦㥤㘴戸㡢っ㍦〲㐳㘳扦㍤〱㥣摤㙦㜷㠳攵㑤慤㜹㝥㠲愴搲㜳昷㌰㜳敥㐵搶昵摣㤷㠰摤㜱捦晤っ挹挰攸搳昷㌲ㄳ㈷愲㥥㐲挰㙤ち〷㡤戳摡扤てっ晡㝥㌲㜲㔳戳〵挳㤷挹昰ㄵ㌲㜰㥦㔳㝡敥慢㠸㑤㜶㝢づ换昸晣㌰㥥㐹戲捡慤扡敡〱戰愲慢㥥昶攴㙤慦㜱㘴敤昸㈰昳㝥㠸㜹㍦〷㠶㐶㌹晥ㅥ㌸㕢㡥㕦〷换ㄴ晢戱慥ㅤ㙢晦昳㐸㈶㌲㝣㤸ㄹ扦㠰㔸㥤っ戹㙢戵㘳ㄹ扥㠸㘴㘰挴㡥㌶㌳㜱㈲㡡㝢㥦慥㠸㄰㜴㌵敥摢㘰搰㡦㤰昱愵搶っ摦㈱挳㜷挹昰㌲ㄸ㐴㠶摦㐳㙣ㅦ㔷㠶㡤捦扣戵㔸㠴㝦ㅦ晣㄰攴慢㥥〲㡥㈲挶搶昹挷㔸挰て㔸〰户㌵ㅢ〵挹〶搸㠲晣㈱㐲㍢㉤㐸ㅡ㑣㈲挸挷㤹㜱ㅢ㐰㥤㈰㝦っ挴㡥〵㐹晢〱ㅦ㥦㝥挲〹㌰愲晣㠰㉤〴昹ㄳ愰昵㑦挹㘸戴㘶㜸㤲っ㍦㈳㐳㈷㠰〸昲㈹〴昶㜷〵搹敡㌹扥ㄶ挲晣〵搲㐰㤸ㄳ昰攳搶挲戳昲晥㈵搰晡㔷〰㙡㑦〰慥扥㐵戳㝤晡㘹㐴搱ㄸ㔹㜹㙤㐷㌸㠰㙤攰扤昰扢つ㘸昷慡㕦㌳㍣攳㜰㜱㌷㤵敢〶㡡㜴㐷㌶愸摡〷㑣戴㐳㝤晡摦ㄱ㤲戲挵㄰晡㌵㘲㉣㜲㕦晣搲ㄸ慡扦㕥㍡敦散㔷㥦昹挲戶㍤晥㔸扤㕤㑦〵㥦摤敤扦㐱㘸扦㤶户敢㜰㘸㙢㠹㙤ㄲ扦戵昷㙥扤㍦㜰搲昹扦㐵㐰ㅤ〰㘰㜷扥㕤ㅦ晤ㅣ㄰㍢敥㝣㙥〱攳攳搳扦㈳㍢〲晣慡㕥㐴㕣戱㤳敡摣慤㝦㡦戰㝥ㅥ㐰㑤㙢捤昰〲ㄹ晥㐰㠶改〰㌷㈲愵㝥ㄱ㠱敡㑤㜶㈶㈲㙥扥㙦㤳㝣㍢挹昳㐷愰昵㑢〰慡て愰㜱㙣㠴㠰戳㠵昴㌲㐲㔳㙣㕦摢㡥㈷㤹㌰㤸㐵㍣晦㠹㠰㡡〰搴㡤㡤㔷㠰搸戱㜸㘲㑣换㉡扥ち㐸㝦慢昸㕣攳㠸戸捤㈰搵ㄹ攲㝦㐲㔸晦ㄹ㐰㈵㕡㌳扣㐶㠶扦〰昸晢〱㜶攸㤶愴㘵扣㥢摣㤲ㄳ㤷㤵〷慤㌳㐶㘹〶㥡挳㔴㜱晡㈸摢㜱愰敡㑤㌹㈹㕢㜹㜲慢㍢ㅤ戶ぢ昳慦挸㝢慡㍢搶摤慤㉡捦愳戰㉤㠶晡敢㐸攲搳㝦㈳㔴㐷〱扡㤲昵㡣昷扦〳慤摦〰㔰ぢ〱ㅡㄵ㘴㌱㜰愲㈰㝡㈳㐲㜲㐵〰㍤㝢㍣㙡〹〸愲っちㅤ愸㤶㈲㔶愷っ敤挰敥㔸ㄹ戸㈳捥〲㜴〷㌳㐱㐰扥敦〲㜴慢散㌱㘱㤸㥤㌶挸挸㉤昳ㄶっ㥤㘴攸㈲〳㜷搱㘵愲攴㝢㕦挶昷晦昲㌹摥ㄶ㈲㥣㠰㠴㤸㉤㔷㝢㑡昲搸戰ㄳ㔹㔲㌷㑢㝡㌷ㄸㅡ愵昷ㅥ攰㜶㈰扤㔳挰㈲搲敢㘱㈶愷㈲㔶㈷扤㍤㠰摤戱昴㑥㐳㌲㝣㝣㝡㌲㌳㜱愵㘷㈲搴㐲㌸㔳挰愳昷㈴㘳扡㌵挳㕥㘴搸㥢っ摣㠲ㄷ改敤㠳搸昸搲攳昳挷㉤愴户ㅦㄲ㐲㝡敢㍣㈵㜹愴㌷㤵㈵敤捦㤲捥〰〳㍥㌸㐶挳㤸搳〲㝦〵愱挶愱摣戴晢㈳㡡㤱攳㍥搰㘰㘵敢㌰昶摥ㄸ攴㡥㠳ㅤ攲ㄲ〵㙥㍤攰戰て㔲㉣攱㡥摣搱昸㡣㐳㌵㙤ㄶ〵㑦搸戳攱㌱㔵㐹㐶㑡〹戵昱晦挷摦㥡ㅦ挵慣愶㘷挵㙢捦慣㌱つ㉦攳㐰戴㘹捦ㄵ昹㑣愹㔸㉥收昰㝣㍤戶㤶㝢昹搸㙦づ㑢晡昹晥㘷㤰㘳换㌲搹戰㡥ㄱ㌴挴扦㠹㡦挱〵㌶㡣ㄴ㌷㡦㐸㙤晣㘵㍥晤捣搲㜴㘷㈷㡢攱㜴㈶搷挱㄰㕥㜰ㄴㄴ㈶搶扤㈸戸扢㍤戸〹㜱慥摡㡣㘹㠸捦ㅣ㔸㌰戰㘶挸戴挲㔶㉡ㄵ〹㕢晤㠹㕣㉣㘹㐵㤲㤱㘸㍣㤵换㕡㈹㍣㍥㥣㐹㠶㉣㘳㝡㤵㌵㤴㑥愴愲昱㐸㉣㥤〹㐵㘲ㄹ慢㍦摤ㅦ㡢攷戲搹㘸㈲ㅢ㡥㘴慤㕣搴㌸戸捡㥡㡡攴攲挹㘸㍡㥡改敦㑦挴㐲挸搸っ㘷慤㑣㌴摤ㅦ捤㥡挸㍢ㄴ摣散搴㐴捦㐰ㅡ㍤㤳攰㄰㠰攰ㄶㄷ㝦㈸㔱戳〸づ㈳㝥慢㡢㈷㤷捤捦㤴晥戳㠱摦搹改㤵㤲㜰㡦〶㜷㜴㜶㌶㜹慢㥢昶㡥慡㡦㔴ㅡ〶敤㜴晦㡦搱㐱㡤攷戵㕢㈷㐲慤㍣晤捦挴搲つ㝤慣晣ㄱ〰㠱攰㌹㘰昱〳㙦㠴㄰㥤㌲戰㘰〸㡦晡つ㕡㈳㘵㜹晣㤲㑡㙢㠴㐱㤸㙣ㄳ摣愷〲〵ㅦ〱㝥ㄲ昰㥥㍤㜳㈳ち摣㐴攰挴㕤戳〶捦㕤ㅢ㌱㘰昶〰愶晥㐵㐶挱㜳摤㘲攳愰〷攷㡦㡣㡣攲㜵て搵昷昶挸㌹愸摡㝢㝤㜴ち㑣敡㝣㈴㘱㝢昴㤱㡣㈱㈰摦ぢ〱㌹㉡搵㌷㈱ㄴ㡥〵㄰㝣挶搱㘰ㄹ㔳挱搵挳㘰愳㤲搷㉢㈹户愴㐴㍡敦㐴㘲㈸改㐵㑥摣㤸㡢戸慤愴㔶㌶ㅤぢ㠵㔳改㙣㍡ㅥ挲㕢戱晡捤㘸㉡ㅡ㑥㈶㔲挹㐴㌲㤲捡愴㑣㘳㕥㤵ㄵㄸ慢摦㑡挵㘲㐹慡㕤戶摦㡣愷㉣㌳㥥敥て愵㤲改㜸㈴ㄵ㌳收㔷㔹㔳改㔸㌸㘶愶㐳㤹㔴㍡ㅣ换挵㈳愶㤵㡤㘷挲挹戰ㄵ㑥收㘲搱㐴搴㔸㔰㘵㐵㥥愹㜴㈸㤶㠸昴㥢㌹㈴㠹㈴㔳戱㔴摣っ㠷戲挹㕣㌸㥡敤㡦〴摦攷㌶㘲〰㘹昴㐲㠲㐵〴㡢〱㠲ㄷ扢挴㈵㐴㉤㈵㔸㐶㜰っ㠹敦㜷㠹㘴搵昵挹ㄵ昷挶愸攲敡づ㠸㡤敡〷ㅥ㍣て㐴捥搵〰㠱攰〷㥤搴挶ㅡ㐴敢㌵㘰㄰㤸㔶晡戳ㄶ昸㐶晤㌹づ戸ㄶ摡挲㝤㌷改㥡〳㔸散ㄶ㠲晤〹㑥〲扢晦㔲㄰ㅢ㐷㠳攷㙣㠴㘷愳㡤昶㘷搰戳ぢ㘷㡦慢摣㙡攸ㅥ㕥慥戵ㄲ慥攰ち㔱㙦〵〷㘲㠷敤㤰摦攱㤴㈲㑤㌸昹ㄴ㡥散㐶ㄹ搴捦〸㑥摢攴挹散㕤㜳搸〷晣㥦㐱挷敦㕣㈹攸㤲㠶㜹㠷搳㝤㐰㥦㡣づ攳㥡㠹ㅢ㘵攴搱敦〱㠲〱昹㝥搸挵㥥〲慣㝢昹㉦〳㜶攷㝤摤捣㘸㑡敤㠰〱㡦㤲捣ㅥ㠶摢㝦㈷㑥敥㥣捡扡搰扤捤㍣昴㄰㘲慣〶扦敡ちㄷ㝢ㅡ㜹㠰㘱㜳搴㤵〸挹摣㜳〳〴㔳㥤㝢搲㘰ㄹ㝢敥戹づ慣捤㜳捦㔵挸愹ぢ㔹敡㉣ㄲ㙢㡢㈰㐷戰㡥㘰㍤〰收愳慢㥤㍡ㄸ㜹挴敤昹㈸㥥㐹收ㄲ昱㜴㈴㥤换㈶㘳戱㕣㝦ㅡ昷扦㜴㌶㠶户昵㈵㌲㤹㜸㈲ㄵ扣挶㐹愳㑦㐷㥡攰挷摣搸〶挶慥㜵㘳愴昵㕣㠷ㄸ攷㐳〳摦摤㝡〵慦㐷捥㜲戳㉦愰㥣晡愹㘱〴㤸挶㈹㠰㑦㈴戶㤸〲㙥㜰㜲搱搳㔱㍢㍤㡤愰〴㑥昵㜱攰昱昱改㌲㘳〸挸㤷㍥㔵改㤹て㜹㝡㐶昳慥㐰ぢ㐷㝤愰㘵㈷㝣ち㠹㘴㤶搹っ㍥〸晣搳㑥摣搸㠲戸㉤昰㝥搳戴㘲㔶㌸ㅢ挳㥣ㅢ㑢㘶搲改㙣㉥〲㜹挷㈲㠹㕣摡捣㔹㘱㘳㙢㤵㌵ㄷ敤捦㈵㘲㔶㈶ㄱ㡤㈶㌰㘱挷搳昱㘴㈸㤵〸㥢愱㤸㤹㠸㘷捣㠴㜱㘶㤵㌵㥣挵㐱慢㘸㌲㠳㔷㉣挶㘳挹戸㤹捥攱㐶㤱〸挷㐲㤹㑣㈶㙢㈶晢㡤戳慡慣改㐴戶㍦㥥挹㠴㉤昴㝢㉣㤹捣愶ㄲ改㔸㍣ㅡ捥愴㘲㔶㈲㥣〹挷㠳㥦㜱ㅢ㜱㌶搲攸㜳〸捥㈵㌸て㈰昸㔹㤷㜸㍥㔱ㄷ㄰㕣㐸昰㕥ㄲ㙦㜲㠹㘴昵愴㘴㐶敡ㄶ㄰攵〶戰〵愲攳つ㐰㡥慤晥ぢ㌹㍦〰㄰〸搲捤㉢挲攳つ㐰㜳捥搷㥣攰㌵㘷昴㈰摤扦㐲㍣㡣㍤㈵昳昷㉣㠶戶㤱㜸㉢㠸愲ㅦㅦ㐱捣搱敢㔰㈲搹ㅦち㐷捤㑣慣㍦㤶戶㤲挹㘴㉣ㅣ戱攲搱㜴㌲㤴捤愵㜲㌱攳昲㉡㙢㍡ㄵ挱捤㉦ㅤ㡥攴㉣摣㐶戳㤹㔴㉡㥢㡥挶㘱昰挵㘳㘶㈶搹㥦㌵慥愸戲㐶㤳㌰ㄷ㑤慢ㅦ㕤搶ㅦ㑢㈴搲㘹戳㍦㤳㐸㘷捣㤸㤹捣㐵㌰㘲㠲㜴㐲戳㈶晡愳㐸愳慦㈴戸ち㈰㜸扢㡢扦㥡愸㙢〸㍥㐶晣ㅤ㉥㕥㔸㈵㤱昰搳ㅦ捤㝢㡤㜱〳戹㘰晣搴㥤搹㌰㙥〴㜶挲㤰晤㈴つ攷㙦攳攳㐰㜴て搹扥づ戱㥣捡㥡㘳挵昸㈴昱㘲㑤㤵收㘷戳㈵㍣捥慡㌹㘲㌴㠷㐸㤰晥㙥ㄶ搲愵㔴ㄷ愷づ捣慥㐷戰捣捦㠲ㄸ㍤昴㘴搷㙦摦昸愲㠶㔳㜸㍥㠰㝢㈳㌸ㄵ㌳㠰㤳㕣戹攱攲收㐳愷㉤挴晢〶晢㤰㕡摦㡣搴敡ㅥ㘴㡤㡦㑦㝦㡥㌱〴攴晢㈵㐰ㄹ㔳挷㜹挶㤴昱㜹戰㡣㍤摢つ戶ㅣ㘸昷㈲㈷㔱㠷㕢㤱ㄸ〳敤㍥㈷㙥摣㠶戸慤〱㠹㔴㈲㥢㑢攲㤵愳㤱っ㐶㑦㌸㘲㈶ㄲ㈶扡㍦㘱昵㈷愳㌱换捣ㄹ户㔷㔹愳㘶㉣㤵戰㘲㌹㔸昴㐹㡣户晥㘴㉡㘹㈶㑤㉢ㄹ㐹㐳㙦㜲戱㤴㜱㐷㤵㌵㤱㑥㈴愳晤㔶摣捡攴㐲戱㐸㝦㍡㥤㐹㠶戱搲挸愵慤㕣㈶搴㥦㡥ㄹ㜷㔶㔹㘳昱㜰挸㠲㘶㐴㉣㉢ㄲ挳戸㠴敡愵搳戰摤㔲改㘸㌴㙡愶捣攰晤㙥㈳敥㐲ㅡ㝤㌷挱㍤〴㕦〴〸㝥搹㈵㝥㠹愸㝢〹敥㈳戸㥦挴慦戸㐴攱慦㈵㘷㑡昵〰㠸㌲搰收㍢〳つ㐸㥦㝥㤰㠹ㅦ〲〸〴ㅦ㜴㔲ㅢ㕦㐷戴㤵㕤昵㌰昰㡤㤳敡㌷㠰慢㥦㝡扦〹㑣㡢㘹昶㈱户㙥㌲㐸攳㉣㥢捦㕡改敦㠰㕤㠹〷㥦戱敦㌲㠶㠰摣〵扦㠹㤰攸㐵摣愳ㄷ戵戹㌶摡㔲〵扥攵㤶昳ㄸ戲㠲ち㝣㥢搹攱ち㍥攲〶攸愴ㄷっㅤ昵扣ㄴ㝤敥㈲㥡戰㈳ㅡㄹ慢㍦㐴〶晡㜱㠰㐰昰㌱㌰㡣㌹〷搱ㅤ㉦㐴㙥〱摡㜳㄰㥤㑥晡㈹戶攵㜱㄰昱挱愳㘴㡣㈱㈰㉤愳㑢㕤㕡㌶戳㘵换づ㙥搹戲㈷㤰㐸捡昹㌷㘴㠵㤶晤㠴搹攱ち晥搴つ㍣改〶㝥收〴搴㉦㄰㤰㤶㑤昳戶㙣㍢㌲搰捦〰〴㠲扦〴挳㤸㉤晢㤵㑢㕣㠸㘲散㤶つ㌰昴㍢戶攵㘹㄰㘹㈱〷搴摥挸㥢ㄶㅣ㥢ㄶ搰捦㌳㕦㔸㘲摢㐱挳〷て㥡㤱ㅢ〱昹㍥攳㘲扤㤶㤸愲晦㥢搶㤸㝥㤱扣扦㜶㜹晥㠸ㄸ㍥昲㔵扦㜵戱㉦㜹昳㝢づ㔸㤱㘴て㉡攰㕡㑡㥡㤶㤲摣㡦扢㠱㙤㌶㡡攸愵ㄶ愳攸ㄵ昰改㔷〹晥㐴昰㘷㠲搷〰㈰㕤㝡愹昱昱ㄹ㝦㐱摣㥥㍡㌰挵攷㐲㠹晥㙣㌲㥢㑤㘱昹ㄴ㌶㌱㙥㜳晤愱㕣㌴ㄱ㡡㠶㘳㤱㜴㔰㥣摡㐸愳晦㡡㌴㐱扡戱㤹㠳ㄶ愳㐸晣搹㉥慤攷㐵㄰晥㌹㐶ㄱ扤攰愲扥㌲愱㜳戶户㘷昵㤷㕣晣㌲㔶攲ㄸ㠲㌶昰㈹昱㙢㌳㠶㜳戶戵㙥㝡〵摣㈲搶搷㕦昷㠸戵㙡收晣ㄵ搸㘶戱扥㡡㐴愲㑢㥤挸㑡㜷〱㜴户〵改捥挶挷㘷昰挵搳戶ㅣ戱㑥捤㈶㌱攱挵㜲㤱㔰㉣㤵㠹㤸㘶捡ち愵㌳改戰〵ㅦつ㉣㤹攰㥦㥤㌴㥡摢晢挱搷摣搸〴挶攸昸㘶㝥㐲㔳慦㈳㈸晡晤㕦愸ㄱ慤〷ㅥㅢ搲㤳挰愸㝢〰〲敡㙦㉥㝢㄰㔱㝣攴ㅢ愴㈷㜸㑣慤愷㠷㔸㠸慢㤹㤷㑣㔷慢ㄸ摡ㄷ挹㜱收摡㈹㝥㍦挶㠰㤶㙦㍢戰㈲慥摦㝡挵㜵㈰戰愲㠵扦㙥㈹慥づ㤰愵㥣户㈱㉢㘸㥣ㅦ㜱搶搰㌸㄰搰㤶㔴㈴ㄳ㑤㈶晡㑤㉣捡攳晤戱㕣〲敢昲㔴㈲ㄲ㡤挶慤㝥㉣搳攳㔶捥㌸愸捡㙡㈶㉤㉢ㄹ㡡挲㙥换㈵㘳㘶㉥㠳㍢㑦㌸㘵挵㤳戱㑣㌲㑤㐷㤶搱㕢㘵つ㘷㜳㤶㘹㠶愳ㄹ摣捥㘰攳攵搲㐹换捣㈶㜲㜰㤳昵愷㐲㘱㌳ㄶ㌴㥣㥡攸㘹㐸愳愷ㄳㅣっ㄰散㜴昱㠷㈲攰昱㕤㜵戹㜸㜲搹晣㑣愹攸㔰㤶摥昹愹搳㍢搲摣搹㘴㍡ㅣ㈰㄰愴㑦㤹㍥㈲ㅤ㘲㠶昴〷改〸㐱㤴㈰〶㄰愴挳㔹㌸攲㐴㐹㘷昰㤹㌴㜹㔳愵㑥戰㤰ㅥ㄰搸〹扡㥦㌱〴攴扢〷戰搲㈳㡦戴散㤱㙦戵散㤱挹㐸㈴㔵㍣ち㔹愱㐷愶㈰㡥㄰扣㍥㠰㜶㡦挰戴换㠵㈳〹ぢ戶㜷㈴㘶㐱㜰㐹㌳㤷戲㔲㘶㝦扣㍦〲〹㐶㡣㌹㔵搶㘸㈶㤴㌱㐳挹㙣㌸〴㤷㘲㉥㥡㠴㉦㈷㤹㡥挴挲戸昹昷挷攰㤲㌱摥㔹㘵㑤愷㐲昱㕣㍡㥥㠹㘴挳晤㌱㌳㠵ㅥ㑣㐶戲㠹㐸〸ぢ〲慢ㅦ㕥挹攰㥥㑥㑤昴㕣愴搱昳〸收〳〴昷㜲昱つ㍤戲户㡢ㄷ㔶㐹㐴㝥戵ㅦ昰搲㈳昷㝡㝢㘴ㄹ昳㍢〶㈰㄰㥣ち㠶昱㝢㠴㑥散㠶ㅥ攱㐳㜲昲搶㑥扤㤶㤵㍡〰ㅣ㈲挶攳㄰敢㙥昷昷㈲㝥ㄴㅦ昰㘸㝣扤戹ㅣ㔲敥昳戸昹㘶攳㝣㔹摤㝢ㅤㄷ攱㤱㠷慤㐸敥㙢挷㌳〱昶㐹晡㡥戶㈳㜷㉤㉦㕡挴㥣ㅥ昸昵㝦づ敤晦〷昲愱㡥搵摣摦捣昱㈰㝣昵〹㘸戰㝦〶敡摢昲晣㕡攳慢戳扤㉦ㄴ攴敡㜸慦挲戲㌲㕣㥢㜸挹捤摡攲晣敡换搸昷㜰㕤㥥戳摤搷つ捥慣㘱摣攳愱㙥戲㤵愵㙡㍡扣扥て慥㜴㄰㘶昳攵㠴㝢搵㘲㥥㈷ㄱ昶慦㘱㜱㉡ㄸ㘷ㄵ慤慣㥢㘳ㄹ㜳㕤㐷㕢扢㙡昹散㥦昳摡㜵㜸㜴摤っㄶ㡤㡣ㄶ㈶愳つ晢户㜸ㄲ㘳㐱扥㈲晢㝢㍣㈰慢昴㌴㠸挷㌸〹㠲㥡摡昲搹㠴ㄹ㡢㘶㠴㔳晥捦愰㝢摥㐴挹昵摤挱㝡昰㠲㔷〸挵愸㤹㈸㤰㝤愲昴㜴ㄶ㝤ち㜰挶㥣ㄹぢ㘷㠴㐳晥㑦愰㤸挶搳㘰攲攱㜳ㅡ挸㘷㉢㈸㉥扣㉢㜴㔹戶戹㄰㘴㠷㐲㠶㔸挸㈱搵㐲づ㘶㈱愶㕤〸摡ㄲ㔲搷愳㄰ㄶ〴ㄴ戸㌳攴收㘸㜵㔱㙡㤶ㄳ挱㡦㑦ㅤ〶挸挶㈳散敢改㐳㠴㐳慤挱㜵昲搲㕣㔲㜱捤ㄳ攸摢搳昹摤㜷㕥捦ㄱ㡤㈹ㅡ㥦户㜶㡦挱摥㝢攰晢㥥㕦㝤敦愵㜳㔵ち㈹昶㐵㍥㡤㙦㥤扢ㅡ㤵㘸昹㜰昹㔵づ愱昱戵㝢挱㈳㤱㤳っ晢㍣㥡搸摤慥摥㠹㌸㠷扥晡㈸㔲㜰扣挹㄰搹挰昶て〰㙤㜷挹㕣㠴㡣〲㜰攸㤲挵㌳挲㜱戵つ㡣慥㘸〲扡㐸敥㠵㔵敥㜹攴㍥挳收㠶㙣攳敡㔲㠷ㅢ㜸挸戶㑣敥㐵㔵敥昹攴ㅥ戵戹ㄷ㤰晢〳攰㜶㠵ㅢ搰㥢挹㑤㥦戴㕤㤳〵攴摥㙡㜳㉦㈱昷挵㑥摥㙣㔳㐰㥦㐵敥㈵攰㘱攵㠸㔲㑢㥤〸〸㍥戵捣㠹攰挷愷㡥〱㜴换改㔹㠵〸㍢㜰〷㥤搸㌵て㍣戸㠲昳攴〷㥤摡戳摡㑤㜹㡡㥡戶㙤扥㝦晢㜹㡤㥤㘹㜳昶㍢㈹㤲捥敦扣㜹敡㈴愴㙣搵愹ㄷ愰敥㉤㍢昵㝣㠷搰昸㉡㐱㐵扦㉡ㄵ㕦㕦挰昶㈳挰㙦昰㍤挰㑡㔷㕦〸㉣㙥㤴慥㌱慦㑥㜵搹㕤っ㠵ㄳㅣ㜲搹㉦㐲㔴扦㡦㘹摡㠲愷戹挸㡢㈵て㤵㐵㕣搴㘵㉢敡㐲㜵㌹㄰㐹攱㠳㔰㤶㑢搸攲㄰㈶㤱攰㠸昳戵㌷ㄴ晤㤹㤲㜰戳㐳攷㍣攳愱慦㜳改㥢ㅣ㍡㍤晣ㅥ晡㝡㤷㍥敡搰㐵㑦㍦㠴㕡愹搳㐱戲戵㈳㡦㤰㜱㈹㜰㤳昱挲晥ㄹ搵㌷昶捦攰㉢晢晤㘷㈰攱㜸戳ㄵ㑥㤳㝢攷挹收㠹〴ㄵ㠲㡡㝤㤸㐵㜲戱挰晣㠸㔲㈵㐴㙡晤㜸ㄳ㔰㘲〲愹㘱㌰戴散挷つづ愱昱㔵㔴挱㌲㜲㤲ㅥ晢愸㉤敤捤㠸㡢搰昲㐸㔱ㅤ㥣㔷戱〶㜴换搹㡤摥㠲㤰㜱つ㜰ㄸ㥣ㄸ㐰〹㘵㠱搹㔵散㠰扥㤶摣㜴〴摡摣扣㑦ㅢ搷摢摣ㄸ捡〹㘵㠲扢㌶㤴㙦㈴昷戹㔵敥㌳挹晤〹㥢ㅢ㐳㌹愱㑥㜱戸㠱㠷㉣㍥㐵㙥晡ぢ敤扣改愷㌴㍥㘳㜳㘳㜰㈶搴㐹づ户㍤㌸㙦㈲昷昹攰愹づ捥ぢ㥣〸〸㍥㜵愱ㄳ挱てㅥ昹〲㜴摢搰昳㉦㠸散摡攰晣㠰㥢㜲晣挱㌹㝤ㅥ捡挴㌵㙢㥥晣昸㔲昳搴㌶愴慣㜵敡㘶攰敤㑥㕤㡢㈶戵散搴㐱㠷搰昸㝡㉤昵㔱攴㘴换攷㈳慣捤㙤戶㝣㌸㌱晡㔷㈱捤㍢㕡搹㐹捥㥤捤㜶ㄲ㡥慦㤵搴搳㠰扥㠳戲愵ㅦ搲㉥改㜲㤶㜴㤷㕤㤲㑣㤳换㔱ㄲ㑢〳ㅥ摣昷㤰㥢扥㑡㥢晢ち㜲㝦挹收㤶㈹㜸愹挳㑤㘹〴昴㝤攴扥ㅡ㍣㙥〶敡ㅡ㈷㈲㔳つ㝤愱愴㤰㔹摤㡣㐸㑤㙣㡦〱㘵㡢㙤〰っ㉤挵戶挰㈱㌴扥㉣㈸昸㌹攴㈴㘳攱〱ㄴ㡦ㅢ搵慤㠸换㔸㤸㠷ㄴ搵戱昰㄰敢㜶ㄷ㐸㜶㑢攸㐱㌴ㅥ戶㕢〲敤㡥慡愳挱㕣搳敥㙦㤲晢敥㉡昷敤攴晥戶捤㡤晥㠸慡愴挳つ㍣摡晤ㅤ㜲摦㔳攵扥㠳摣摦戳戹㈱搳愸㡡㌹摣戶㜶㝦㥦摣昴攱搹㌵戹㤳摣㍦戰戹㈱搳愸ち㠱摢搵攸㠰㝥㥣摣昴づ㔶挷〲扤㠴㙥㑤搵㝤㑥〴㍦㍥㜵㍦愰㥢戲攷㐱㐴㜶㙤㉣㍣攴愶ㅣ㙦㉣捣㝢慥晢㈱㤴改昳㥤摥㘵晦㕥搲晥㤰晡づ㔲搶㍡戵㌶ㄶ㘶愳㐹㉤㍢昵敤づ愱昱〵㐸挱敦㈲㈷摡攱晡㐹戴扦扢㐷㍤㠶戸㜴敡㉣愴愸㜶敡㔳㈰昶晣㄰愴㥤㌰慢㙡㜷攴㥥挷摤ㄴ㘳㌵㌰㜸㘲敡敥㐷㌶㝤㙤㙥㘵昱攵㝦㌲㠶㉥㤹慢㥥㐲㡡㔶つ㍢㜸慣㠶㑤㜷〸㡤㉦㌲ち晥ㅣ㌹㐹挳㥥戶ㅢ昶㙦㠸㑢挳㝡扤つ㝢㠶つ摢敥㔶㔳攴㕣〵㡤昶愲愷㘱捦戸㈹挶㙡ㄸ㌳戹攸挹昷捦攷敦て㈷て捥㔷扦㐳㡡㔶つ摢㝦慣㠶㑤㜵〸㑤㉦㈳愲愳㤰挳㕣㍦㡢扡㌳挰㙦㤰摥㐲ㄹ㥣捦戱戹敤敡㐵㤷换戵㈸㄰昷〵改ㄹㄴ慥摦㠳㑢㍦㑦搶戶攰㑢㉥昲〵㍢改㉢㠸㡢愴愶㌸㤲㜲㉤㡡㔷㕤挲㘴㠷搰㘰㔱搰ㄹ㈸〹昷㜰攸つㄶ〵晤㠴㐲て㍡昴〶㡢㠲㉥㐴愱昷㌸㜴戱㈸晥ㄳ戵㔲㝦〵挹ㅥ挶㝦㐱挸㜸〵戸〶㡢㠲晦㐶㐴㑤㐰㐲搷ち〸攸㍦㌱㈵扤㜵㌵挱搷㙣〱〳慣㉤㠷㡡摦㈱㌴扥攸㈸搸㡥㥣㐴㜸慦㈳〰ㄱ搳㕤㈷搵㙤昷㔶昷敦挰㉡㍡昱㠴愴ㅣㄲ攲㍥捤搴㡡扥㌹扢㈵昴散ㄹ㌸〹敡㥢㌸㘷挶戱㤸㤰㡥㥣戱㤲户愰扦晤㜷昳愶扥㜷㜱攵㜹摣ㅤ㤹搶㔶搳㕣扥㠹㕥攰摦㉦攰㥦搴戱慣〹㈸㠱搹ㄱ摤㐳敦ㅥ㍥㘳ㅢ搴㍤㜴晤〹挷㔸㕡ㅤ㜴扤㠱摡㘰ㄹ㥤〴㕤㉣㠸㍥扥㥡㤰㙢昳搱㉢㈸扣愵㤰晦换㈱㌴扥㌹㈹戸ㅦ㜲㐲㡥㜰㐶〲㐲挸㜴昲㠹㈴㕦㐶㡡敡㝣ㄴ㘴愱搳㐰戲㈵㐹捦㥦㌱ㄹ戸㌱搶挶㑢戱㌶㔶㝦㐰〶敥愴ㅤ搰㝢㌲〷扡攸散ㅣづ㘲づ㝢〳攷㉣㜱搵敦挰捤挹ㅦ摡㠶ㅢ捦扥攴愶㤷捥收敥㈵昷㔴㥢ㅢ户愹㤰晡㡤挳つ㍣戸て〰愵㘷㌶挲㍢㌱㕢㝡ㄶ愱昴敤搵愵㘸㕣户㌴㉤㐲改挸㙢㈵昶敤愸㑥㑢戱㍦敤㄰ㅡ摦搷ㄴ散㐷㑥愸㌵扣㤰㠰㄰㍢㍤㜹㈲昶㕦㈱㐵㔵散㌳㐰㔴㜳㐱戲挵㐰昷㥥㜱〸㜰慥搰㥥㜲挴㘰ぢ㙤ㄶ戹攷㔵戹改攱㌳摥㙥㜳㡢搰㝥攲㜰〳て愱ㅤ㑥敥昹㔵㙥㍡昹㡣㍥攰挶攸搲ㄵ散搲挷㤱㐳慤㑢㐳攰敥愱㑦慥㑥㠸挸ㅣ㔷攳㕣敥ㄱ㍢ㅤ㜸㜵㈹㜶㈸㜶㝡敢㕡㠹晤㔱㔴愷愵搸扦攷㄰㥡摥ㄲ㐵㑦㕦换ㄵ㤰敤攲㤳户〵㜸晥㉤つ攷㔳㝦㡥㠷晤㈶攴㙣㌴㥤㜳昲㐸晡戰ㅣ晢㥣㠸㌷扡攰㍦㌴㤵㤶攳摤㐵㜸㡦ぢ晥ㄹ愰㜳捣て敦㌴攲昳㜸敥㍢㐳戴挴㘴慦㍢户戲㠴㤷㠸㜴收㤶㤵戱㈹㥥敤挲㍦戶愸攰㉤昶㈳㙦㠵㌳㔷㌸㠸摢㐱㔵挲慣挴㝦㈶搳搶昲っ㙣ㄶ攴㤶扥㈸㕢㠴㌵㜹戸て摥戶昱㐵㌰扢㜶攲捡㐸㐰挵㍣㙦㌷捡㝡摥㙥搴愱扥㠳㕥戶㜷㜷捥昷㠹敤捤ㅤ㌸㥤㐴ㄲ㈳〵搰づ户㥦㑣搰〰〱㝤㈴㌰㜲ㅣ㕡㠰捦㝦〲㌴愱戱㝤㍣㤸㑣㐷㡢慦攱ㅦ户㑣㤸㤰愵㔰㥣慢㠳摥扡昱晣㠷㈰晢㍡ぢ㐳㈶晦晦㘹㔷㘱㘸搸ㅡ㔹㔷㔹㕦晤㥦愷㌸戲㠰㔷㔵敢愳㔱ㅦㄶ挵慦ㅡ㐲ㄲ收慡攷㌸㔸ㄶ愵攸㠲ㄳ散㍢扤㔸㝡慤愸挶〶摦ㄱ攳㝤㤸慦㕥㌸て戶ㄴ捥㝣愴㌱ㄶ〰搴ぢ㘷〰ㄸ㡦㜰搴〶攴㑦〱戹㤷愲㝦㑢慡戲〸㥣搵㙡搳㡦㈵搸挵㕥散㘶ㄷ扢挴㡢㍤换挵㉥昵㘰㠳ㄷ〰㡢㌸㡥㘱〲㘲ㅡ愴㥦愶ㄷ昹慢㉦愲晡㥣〶㜹慥慦ぢ敥㕤㝡㘴㠴㜰㡦㐳搸㥢〴㍣晢㐴㉦㡤㄰敥㜶〸晢㤰搰㠵㔷㐳扥愱攸戱ㄱ㔱慤㐰敥㍤敥㝦㠰散摤㐴㠷㜳戹㑤摤改㡡攸昹挸㝥㌵晤㔹〹㕥㑤戳㐵戱㥤愲㍢慢㠹㍡ㅤㄱ㕢㜷ㄴ㝤㉥ㄴ捦摡慢敦㥦昷户攸㈹昳ㄵ㍤㈲㈲㠸㐱㜰攲㈳㈲㔲㜴㘱㐸昱㙢㠱慡㍤㉥㕢摦㑦户戸㤵昰㜹㤵昸㜸愴㌰㑥〰愸敦愷ㄳ㠱昱㔶㠴㝥㤰扡㝥愲慢㐳㉡昲㙥㜰㔶晢改㐶ㄷ㝢戲ㄷ㑢搷㠵昰扥挷㡢愵㡢㐲戰愷㜸戱㕣㕣ぢ昶㔴㉦昶ㅥㄷ㍢攴挵㜲戱㉣扣愷㜹戱て〰㉢挲㌰㠱ㅤ㕢㙤慦㙦㈹㡥っ搲ㄸ㔹㠰㝡㜱㔸挰㜸挵昱㄰捡愸ㄳ〷㔷扢㔲㤵㜵攰慣㡡㠳慢㕡挱慥昷㘲戹㝡ㄵ㙣摥㡢攵㉡㔵戰愷㝢戱㑦〲㉢㡤搹〰慣晢晣㘲㝤扦㕥摥戲㈱〵昰㙢㑥㑥搰㉢〱㜰ㅤㄳ攵㔱㉥㉥晤敡ㅡ昱戴㕢搸ㄹ㘳ㄶ㜶㘹换挲捡捤㠵㡤㌶ㄴ昶㑣㐳㘱㐱慥㜱挰㠳ㄷ㑥〱㘲㐰㜲㜵㈳挳敢ㄲㄴ攱ㅤ㤰㕣搰〸攱晤づ挱ㅤ㤰㕣攴〸攱㘲㠷攰ㄹ㤰㕣昰㠸摣捥㐲敥捤〳昲㈲户ㄹ㜵〳昲ㅣ昰ㅡ攷〲昰ㄵ昷戵㐱㜹ㅥ㌰㕥戹㜱搹㐲戹㔵〷㈵㔷㈳搲㜵ㄷ㠰ㄳㅦ㔱〰挵戵㠴㔴攱㐲愰摣挷敢敡扢敥ㅣ户ㅡ㍥敦㤰扣〸晣つ㕤㜷㌱㔱㥥慥攳㔲挴摢㜵㝥ㄶ摢摦攰摤慡㍦㤵散㌹昳㌶摢づ㍢敦挹㉡㔳㐱㙡㡢つ捥㠳挴昸戹搸㤸摥㤰愵㜷戵〲㑢㘴㠳戹㡥扥㘸㑣慡攵㠵㕢昱戴㑡㍥㠳〷攲〶㐶ぢ昸ㅦ扣㝣㈷ぢ㌲㔲昶摡㐵㜱搱㈲㈲扡〴〱㝣攴敢攷㕡愳昱づ㍦㘶慤挵ㄳ㘳㙦慦改挲㈲攷㤵㜶㝥昹〷㝤㕤㡣挳〲㑡晢ぢ㠳ㄵ㙢攳㠴㠲摤㐰㕡㐱㈸ち㠵昱㙤攸㐶慣愱㌱㘳㤶攴挸㠷挹攵㄰㌷㐵㘲㕦慥戱昹摡ㅢ昶㙢㔴㝥㌷搷挶扦收捣敡慦扤攱摦㡣㍥摤愵㤲㕡㜷㠳攲㔲㡣㜲㜲慥㜹昶敦㙢㙦攰㙣ㅣ慥㠷㥢㉡愰㌶愱〲慣〴昳㔳㕤㜵愹㕤㍦㠷㕢晤㥢㥢㔳㡦㝡㔳㜳愵㐶ㄵ搶戴㡥㍡㔴ㄹ戴㘶㌳攸㔲搰ㅡ搴昵挳㐴㜹搴㤵㡢㍡慦扡㉡慥搱㐴ㅤ戶㈱㔰㥤㉥戹ㄶㄳ散㐷ㅣ㉣摢慡戸收ㄲ散攵㕥㉣㔷㌳㥥慡㥤摥戲㙡㔷㠲愹愱㙡㔷ㄳ攵愹ㅡㄷ㍥㜵㔵㥢〵㠴ㄴ昷㌱〴㔸㌵㕥㡡㙢ㄸ挱㕥敢挵㜲㕤㈲搸敢ㅣ㉣昹晤戴ぢㅢ戵摡昳㤴㐴扤摤捡㕥摡挵㐳昴搷愳ㅣ㐵㙢㤳㜹攸ㅢ㍣㔵攸愱捤㐷㉣扤ㄵ扥ㅥ摡㝡ㄲ㐳挴搷㐳ㅢ慦ㅡ㔳戴搳㔸㘱㝤㈳搱㌴捦㈴户㡦㈳攰昶㑢て㑤戱㕡㙥㌴挱㙡㌱㥡㕥戵搸㔲㙦㑣搱搴敡㐵㉥敡㔴昴づ愷㜴慡㥢晥㈴㜹㘸晢㐸戱㥦㘲㡣㘶㡦ㄴ晢㘹〴慡挵搲挴㤱慣㌹昲ㄵつㄵ㐹昱ㄹ愲㑦㜴㘸晡戳〸㔴㔳搰ㄶ愹㔵㠶㌶㐸㉤㐶摢愳ㄶ愳捤㔱㡢搱搶愸挵㘸㘳搴㘲愷㜹㘳㡡昶㠱搴攲㈶愲㘹ㄶ㤰㔳摦㡣㐰戵ㄶ㌴〱㙡改搷搷挵㜸换慦搱㜸慢慦挶ㄴ㙦搹㤲昷攷㠸收摤㕡昲扥〵〱㌷㙦挵㍢慤昰㝣㥥㘴摥㘴㠵攷ぢ㕥ㅥ摥㔰㝢㤱㐲慤昱㡡晤㌶昲昲づ㈷挹㙦㘷㡣㌷㌶㐹㝥〷〲㙥ㄱ㍤扣㠹㐹愵㐴散扣ㄹ㐹㡡㍢㠹扥搸愱改扢㄰愸愶戸挴挱㜶挹㜹〶捥〷㤲攲㙥愲㌹ㄵ㐸ㄹ昷㈰㔰㑤挱㘱㉦㘵㠸㝥㜲戸㑢っ愲昴昵㜰㤸㔷㘳㡡㐳㔸㜲晢㈲搱ㅣ扤㤲摢㤷㄰愸收挶㤱㕡㑤搱挳ㄱ㕡㡢㜱㘴㑡㡣㈵㈹ㄹ㌲散戰㝢㠱㜶慦㈰㠷づ攳晡㍥㐰㝤㍦㐰㜷㥢㤲昱㐰攴㤷ㄱ㘷づ昴㈴〴㌹㉥昰挱㝢㐱〰昵㔷〱扡摢㝡愸搱㈷〰搹戶㐵㘵㑥换㥥㜶摡㙢㍤ㅤ扤㔳㍢㑥㥣㌷昱敡敤摦晤昷㙤㑦扣㘷捥戳慦㕦㝢敤ㄳ扦摥昶攸敢㕦㐹捦昹昶㈷㍥昱㡤㘳㙥㜸昴摦㈷攷㙥㙣晢攲㙢换㙦㍣㍢扣攱散㌳㜲挷扤㝤挹搹㈷㥤扥㍡扣㙡㡦搹敤敤㥤㥤㠷㑥㜹㘴摦㔹挱昳捦戸㔷㍤昴搴㍥㈳㑡〶〹㑢晤ㅡ㑡㘲㕤㌴扥㐱づㄶ㝣㝣晡〱㐰晤㈰〰慡㉤愳㠳挸㠷㄰㈷㉢扦㐱㡥ㄲ㝣㝣晡敢㠰晡㘱〰戰㡡ちㄳ昹つ㤲㥣㉢㐸㔵㘶㕣㝦ㄳ㔰㝦ぢ〰慣愲㤱㐴㝥㥢㈴攷ち㔲㌳ㄹ搷㡦〰敡敦〰㠰㔵ㄴ㤳挸㍡㔶㉡愸戰㝥㡦慣㡦ち㙢て㔵昲㥦㉡㌷搱㜲搶攵晢㈸愹摡㠷搴㜶㝣㝣晡㌱㐰晤〳〰㔴㕢搴㥢挸ㅦ㤲攴㕣㐱慡㌹攳晡㜱㐰晤㈳〰戰㡡㕥ㄳ㔹愷㐴搴㙦㘱㝤㠲慣㍦戱㔹㐵㘹㥢㔸愹扣挲晡㈴㔹㝦㈶慣㐱㌷㌳㐵㈵散㠵㙥慢㐳㥤攱扢〰ㄹ㜰〱㑡挵ㄴ挲㈱づ㐱㌶㐱㝥〱㙣㤰㍡㡡㡦㑦晦ㄲ㄰挶㌴戵㔳㔸て㙥挸㠳ㅡ㉢㠴改摥㍣㥥〶㌶㐸摤挲挷愷户〳㈲て㙡㤵戰ㅥ搴㤰挷㠳㉥攱㐰㙦ㅥ晦〱㙣㤰㑡㠷㡦㑦晦ㅡ㄰㜹㔰摤㈴㡦晤ㅢ昲愰ちち㘱慡㌷㡦㘷㠱つ扡摡愸愸㠰挲戳㙦㐳㘲㉡愵㄰昶昱㈶晥㍤ㄳ扢㑡愷愸㤲挲戳㔷㐳㘲慡愹㄰昶昴㈶晥〳戰㡡扡㈹愴挹つ㘹愸慦㐲搸挳㥢收㈵㘰㠳搴㉣㝣㝣晡㘵㐰戴㤸㍡㈵慣㤳ㅡ昲愰㥥〹愱摢㥢挷㉢挰〶㕤㤵㔳搴㌲攱㤹搰㤰㤸㥡㈷㠴㠰㌷昱㥦㠱㔵㔴㌷㈱㜵㌵愴愱ちち愱搳㥢㠶敡愲愸㜷㐲昲㌷愴愱㉥ち愱愳㈹つㄳ㈶昱搵㝦〳昰㔳捦挶㜹㐵㝢捤挶㤱㔳攵戰捡捤ち扤㜴〱ㄸ敡愳戶つ㙦ㄴ昸㥥散㤱㍤㥣ㄷ攸捤慥昲㑣慥㘲慡扣㤳慡㈸㐹戳㥦晤㤶㘳晥ぢ㘱戲捣慥㘵扡㔷㈳㐵昸㔱㔷㝣挶㔸捤搸捥㐴户㠲ㅣ㔲㕤慡攵戲愷ㄵ㘳㤷晤㍦〰晦㉥搹㐳戰扡ㅡ㘲㜹㑡㜱㘰㠹搰摥㐰㐰㙤〷愰攰戴摣㑢挸㔰ぢ搹晣ㅣ㐴挲慦㜰户㔱ㅣ㐴挲摦挶㝢て㉥愵慢㈱㠹㉡づㄸ攱㙦㈷㍦㐷㠰挴㍡ㄸ愳㑡㑢捣捦ㄸ㤵㔵㘲〶㘳㔴㔶挹戹ㄳ㌱挹㑡㔷㐳㜶捥㔴㑣攱敦㈲㍦㌵㑤㘲㥡㌱㙡㠰摣㠵敥㐵挰扤晣㙣晡㑥〸㡥〹㜷搱攰㥤挰挲㐵㤲挸㐳扢摢㥦慣㠰愲㐴㔹〱摤㑤ㅥ㤱㕥ㄳて㘵㈷㍣㍤攴ㄱ㠹㌵昱㠸攴㠸㜵挷㈴挲㍥㈵ㄲ㈴搶摢㘰㈵㤲㙣挲㔲㡥㔲捡ㄴ㤶㈲搲㈳㑦㕤㙤㐵㡡㑤㔸㘹ㅥ戱敥っ㠸戰㑦㐹㠳㥡戰搲〴㘲昷㐶㈹敥愵愴㐸㘲扤㌹〴㕤㤶〹晦〳㍣㙣戴〱</t>
  </si>
  <si>
    <t>㜸〱搵㝤〷㤸ㅣ挵搵敤搶㑡摢摡ㅥ㐹散㠰〸㈲㉡㠰㠸㐲㑣づ㠰㐰〹〹㈵〴㤲㠸〶㤶㥥㤹ㅥ㘹挵〶戱扢ㄲㄲ挱㠸㡣㡤ㄱ㈲ㄹ㘳㑣㐶〴㘳戲挹ㄹっㄸ㄰挹㠰㠹㌶挲〴ㄳつ搸〴㠱挱㝡攷摣敥敡改㤹改搹㘵晤昳摥昷扦搱散㔵搷慤㔳户㙥㥦㕢㕤㥤敥㜴搷愹扡扡扡戵昸昰㝦㝥晡㜳㘱戳㌹㑢扢扡敤戶㌱ㄳ㍢㕡㕢敤㝣㜷㑢㐷㝢搷㤸昱㥤㥤搶搲ㄹ㉤㕤摤晤〰㌰㥡㕢㔰摦搵搰摣搵㜲㤴摤搸扣搸敥散〲愸愱慥慥戱搱慣㐷晤挶敥㕦㔸ㄷ㑣戶㌲晢㔳〰㔵㘷ㅡㄴ〳㈸ㅡ㈹㑣㡡㄰挵㐰㡡㐱ㄴ㠳㈹搶愱㘸愲〸㔳慣㑢戱ㅥ挵㄰㡡昵㈹㌶愰搸㤰㘲㈳㡡愱ㄴ散摦摣㠴㘲㔳㠸㐱㥢㐱捣㥤㌸㘱㔶㙥〱搶㘶㑥㜷㐷愷㍤㝡昸㝥㡥捦㘳愳搱㌱搱㌱昱㙣㌶㌳㈶㌲㝡昸挴㐵慤摤㡢㍡敤戱敤昶愲敥㑥慢㜵昴昰扤ㄷ攵㕡㕢昲搳敤愵㜳㍢づ户摢挷摡戹㐸㍣㘷㈵㌲搱㐴㌲㔹㐴㥢㐱㥢挳昲㕥ㄳ㈷散摤㘹ㄷ扢㝥㉣㥢㕢搰收慣㠹ㄳ挶散㘵㜷晦㔸㌶㠷挱㈶㑣㑥敡㘸戳㕡摡㝦㈴愳つ㡣㘹㜲㤲㥤㙦㘱昰㙤扢戳愵㝤摥ㄸ戸㕤㐶㌴㑡改㌱攳扢扡ㄶ戵㉤攴㌸㥡㘸户戶捥戶㡢ㄲ昴戶㐹㕤摤㝢㕢㥤㙤㕤㠳摡挸㥦摤㘹户攷敤慥㜵摡昶㔸㤲户㕢㕤㘰㔷㘳摢㝥㔶攷㕥㔶㥢摤㥦ぢ㑤㙤㑥っ愷ㄶ散昶敥㤶敥愵㠳摢昶敤戲㘷㕢敤昳㙣㐲ㅡ摡愶㉣㙡㈹愸晥晤昱慤敢户㑤㤰㘷ㄲ㈸昸搳㌶㜱扥搵搹㉤㈵㠶㌰ㅡ㠴昵つㄷ㔹㡢㌲扦㌸愴㠶㔷戴㘲捣收戴戴㑤户㍢摢敤㔶㜶挲㐸敥㔰〱ㄲ㠲㥣㌸㜸㑣改搵㘱㤴搴㐰㜷攳攳扡戰ㄷ㘳㌸慤捣攸㤸户㔷㐷㘷ㅢ挶攴㑣摢㙡ㅦㅢㄹㄳ㠹㡤㥥搳㕤㤸㘴㉦收㜲㌴㌹㝡㐶㐷摥㈲挳㘳㈳收〸㌴㌰㐷戲改㤶㄰㐳挷㡥㥣摡㕥㙣㤵捡攱㍢づ㍦搰戶㍡㠷㡦摣晡愰㘸搶摣㡡戸㔱㄰慡晦㙢㤸〲晣ㅤ㜳㌳慣㙦戶敡㥢㜳昵捤昹晡收㐲㝤戳㕤摦㕣慣㙦㥥㔷摦㍣扦扥戹愵扥㜹㐱㝤昳攱挰攸㑦攳㠰〱昵敥㘷晥ㅤ㑦慣戹敥㡡攷挷ㅤ㍦攴㠰愹敢扦㜱昷搱㡡㕢扤㑣ㅡ摢㘰愱㑦㉢戲㉤ㅡ㤸摢㐱ㄸ摢㐳〴慦挸㍥㔸㤱ㅤ㠸ㅢつ愱搴ぢ㔸ㄱ慥捣㥤攳㌶昹㐳挳㔵㥦㑥扥㘷昴㐷敢晦攱晤敥㜷ㅢ㌸敤晣愰㌰㈳㕥ㄸ㘹扥㠱扡づ〷搹挴㐵㕤摤ㅤ㙤ㅣ㘵㍦敥㘸慤㜳㐷慢ㅡㄵ㌴㑥㥣攱敡㜸昴㍦ㅣ慣㕢㔶搸攷㘰㥤戵戰摢ㅤ慣㑥ㄷ㍦捡㜸㔵收ㄸ㠶㘳㈷〸㈳〲搱㝦散㠴㘸捡㡣㔲ㄷ㠳㔰敡㘹㌷㐴愹㉤㕦ㅣ㌲攱㠴㠳㈶晤昶慡攷㕦㝡攸扡㤶慢ㄵ㜷ち㌲㔰ㄲ㔸攸搳㐰㐹搲㝡ち挲㐸㐳〴て㤴晤㌱㔰㌲挴㘵㈱㤴㝡捣昵攲㠹㜹换昷㜹戲戰㜰敡昹㌷ㅤ㜱敦㔹㌷ㅣ昶慣攲㕥㐹扣搸〵ぢ昱戹㥤㉤㤸㕥ㄶ戵㕡㥤愳㘷戶戴㡦摤㌱㥡㡡攰㌳㝡㐶换攱㜶㙢㡢摤搵つつㄵ㤱搱㌳慤㈵㘳㜷㑣㜰搱摣㤵扤㡣㠵㌰㜶㠳攰晡㈷捣摤愹ㅢ〷愱搴〳㙥捦晢散昴晡晢摢扤㜴昵昸ㅢ慦㥣㜹敡㑥㉢敦敡㔲㥣ㄵ愵攷〹㔸攸搳晡㑦㐴〳㜳ㄲ㠴戱〷㐴昰晡ㅦ㠸昵㥦㑣摣ㄴ〸愵敥㜴扤戸昹挲攵㜳慦㥥扢敤戸㤳㥦换㉦摦愱㜱搸㉦ㄴ昷挵摣㔸㤴㌹㤵攸㘹㄰挶㜴〸慥㐷摣㥣㐱摤㑣〸愵㙥㜱㉤摣摦晥挱搴ㅢづㅣ㍣㜱挵㕤㠵戱戳敤㌵㉦㉡敥挸㘵㍤㘶㘱愱㑦敢戱㌷慤敦〳㘱捣㠶〸㕥㡦戹㔸㡦㌹挴捤㠵㔰敡㍡搷㡢㤵㈳て㌹攷昵扦摣扡搷捡〳㉦㕢扤愲㜰㔵戳ㅡ㠸㙡昱㘲㍦㉣昴挹㡢晤㘹晤〰〸攳㐰㠸㘰㉦收挰㡢㠳㠸晢〹㠴㔲㔷扡㕥㉣搸㘴昲㐹㠳㠷ㄷ愷摣㜸昸挰㡤ㅦ㕢扢散㜵挵㐳ㄹ昱攲㄰㉣昴挹㡢㐳㘹扤ㄹ挲㌸っ㘲攳挰㔹㝣晣㜸戸㘱ㄱ㤸㠳㔰敡㈲搷㡤攵ㅢ㕣晣捣㉢换搴㡣敢挲㌷捦㕥㝢摦捥摢㈹ㅥ㑣㌹㐱㉤㄰㙤㐳ㄸ㐵〸㘷㜰捥愳㙥㍥㠴㔲攷扢ㄶ㌶昹㜷攱㑦昷摦戰晦昴摢摦晥散搴摦㝤㝤捡㌲挵㈳㌱㔹㤱〵㔸攸搳㡡ㅣ㑥敢慤㄰㐶ㅢ㐴㌰㥤〷㘰㍤摡㠹敢㠰㔰㙡㠵敢挵敡捤ㅡ㐷晥㜱昵㍢㔳㤶慦㜷改晢挷慤戸晤㔳挵㐳㐱昱攲〸㉣昴挹㡢㑥㕡敦㠲㌰扡㈱㠲扤㤸〵㉦ㄶㄱ户ㄸ㐲愹㥦戹㕥戴挵摡㑥㝢㘷攲搹㤳㡥㝦晤愲昶㜳㈶㕥戴㕡昱㔸㔴扣㔸㠲㠵㍥㜹戱㤴搶㡦㠲㌰㡥㠶〸昶㘲㉦㜸㜱っ㜱挷㐲㈸㜵㠲敢挵改㔷摥戳晥慢㍢摦㍡攵㠶㡢て昹攲㠵攷慦ㅡ愱㜸㌰㉣㕥ㅣ㠷㠵㍥㜹戱っつ捣攳㈱㡣ㄳ㈰㠲扤㤸ち㉦㑥㈴敥㈴〸愵㡥㜶扤㔸㍢㘷㕤㜳㥦捦㑦搹昳搲㘳〶㜵扤㝣晤㠸昷ㄴ㡦挶挵㡢㔳戰搰㈷㉦㑥愵昵搳㈰㡣㥦㐱〴㝢㌱ㅤ㕥晣㥣戸搳㈱㤴敡㜶扤ㄸ扦攰敢换ㅥ㥣昴敤戴㥢攲㙢愶㝥扣晥昲愳ㄴ㑦〷挴㡢㌳戰搰㈷㉦㤶搳晡㤹㄰挶ち㠸㘰㉦㘶挳㡢戳㠸㍢ㅢ㐲愹㌶搷㡢㤳ㄷ散晣敥扣攷㜷㥣昶扢戳〷㙤㝥攲㥥㔷㡦㔰㍣ㅦㄱ㉦捥挵㐲㥦扣㌸㡦搶㝦〹㘱㥣てㄱ散挵㈴㜸昱㉢攲㉥㠰㔰慡攸㝡昱搸摢㙦㑥ㄸ晣敢晡愹ㄷ㉥晣㡦㜱摡户㜷㕣慢㜸㐲㈴㕥㕣㠸㠵㍥㜹昱ㅢ㕡扦〸挲戸ㄸ㈲搸㡢㝤攱挵㈵挴㕤ち愱㔴戳敢㐵㙡慢ㅢ㍥㝤㌷晤捤㤴敢摥昸昲戰〳㡣㐷敦㔱ㅢ愲㕡扣戸ㅣぢ㝤昲攲ち㌴㌰慦㠴㌰㔶㐲〴㝢㌱つ㕥㕣㐵摣搵㄰㑡ㅤ攰㝡㌱晤㌷ㄳ摦㥣戶戰㝤捡慤攷敤㜵攷ㄷ㘷て㜹㔸昱㤴㔰扣戸ㄶぢ㝤昲攲户戴㝥ㅤ㠴昱㍢㠸㘰㉦昶㠶ㄷ搷ㄳ㜷〳㠴㔲晢㘸㉥㌶㕡戱㘲搳愷〶㑣戹㍥晦攰㕦㝦ㅤ摥昰㜸㌵ㄴ搵攲挵㑤㔸攸㤳ㄷ㌷搳晡㉤㄰挶慤㄰挱㕥散〷㉦㝥㑦摣㙤㄰㑡㑤㜳扤昸捦摤て㕣㜵敡㌶㤷㑣㍤㙦㘵昳慡㡢晦晣昸㐹㙡㘳㔴㡢ㄷ㜷㘰愱㑦㕥摣㐹敢㜷㐱ㄸ㜷㐳〴㝢㌱〳㕥摣㐳摣扤㄰㑡㑤㜴扤㔸㌸攷戸て〷捦㝢㘸昲捦㑦㜹㉥晡捤㑤慢戶㔶㍣㉢ㄷ㉦敥挷㐲㥦扣㜸㠰搶ㅦ㠴㌰ㅥ㠲〸昶㘲㌲扣㜸㤸戸㐷㈰㤴摡搵昵攲攵㠳昷㍥㜲昷㉤づ㤸㜵昵搸愳捥㕢晡㕤扦㑦搴愶愸ㄶ㉦ㅥ挵㐲㥦扣㜸㡣搶ㅦ㠷㌰晥〸ㄱ散挵ㄴ㜸昱〴㜱㑦㐲㈸㤵㜴扤昸㝡昹㠵㙦㍣㝡攷敤攳捥㔹昶捦摢㙦摢戳㌰㙣搰㉡㔴敦攳㥥敥㑤敡戴㡥挴〹㜴改摣㍣㌶〶㈷㜶㍦攴愲〴慥㐹ㄴ㤳挵㜴㌱ㅡ㉤㈴㈳㔶摣㙡攰昹摦て㍤晢攵慥㙣㔰㜱晦㤶昶㐲挷㤱㜲㠶戱搹〴ぢ㘷㍢摥搹昱づ㙥摤㠴㡥㐵敤㠵慥㑤㠳㉢攷㜴㕢摤昶㈶㤵㜵㈵㈳㔵捤收攰㘲㠱摤㈵晤㙤㔱搹㙣㍦慢㜵㤱㍤㝥㐹㡢㔳扤㜹㐵㌵㉥ㄵ㜴攴㙡搷㑥敥戴㡦昰㙡慢㍣ㅡ㡦㙢㔹㡢挵㜶搵㕡㍡㔵㡥㕦挳㈷捥敦攸戲摢挵扤ㅤ摡昶㙥挹ㅦ㙥㜷捥戱㜹㈵捣㉥挸慡㙥挰㉡昷㝡挵づ戳摡戱愲戸〲㔱ㄸ改搷ㄶ昷㔸搲㙤户ㄷ散〲晣㕤㘸㜷㜶㉦㥤㙢攵㕡敤つ换㈰㑥㥦愸搸戸㑣㍤戹㈳扦愸㙢㘲㐷㝢㜷㘷㐷㙢㜹捤昸挲㘲ぢ搷㐸ち㌳㍢ち㌶㉥㜱昴攷愷㑥搵昵敢愷㔴摤昶ㄵ攷㜷㜲㥤㠱㜶扢挶㐸㈰㝣㈱摥ㅣ㌱ㅦ㕡㍥散挶捣挶摡㘱㉤㕡㙤㡥挹晡慤㝡㌱㈶㜶㘹㘶扢摡㐰摦㍡昱戲㈱搱摢搶㐶㡢㡦㕥攴晥敦㠲敢敢㠷戸㙢扦挷㘲㕣㐷摡搳㙡㉦戴摡㥤㍤㕥昴㔴昴挸㝣ㅡ愲㈱㠶慤戹㈶㝢晤㠱㔰㑢搴搲㠶㈳㕢ち摤昳㡤昹㜶换扣昹㍣摥挴㠵搱挶㐶㔲㕢昵㌱㥦㠵捡㝣㡥攲㜹㠸㔰愸捥昸ㄳ㐱㐶挸㝣挱㈹㌷㡣挴晦㍦攸搲㐵搹ㄵ慡㝡戴㌲攵㡡ㄸ㉥㕦㜶㌵戴㑤敥攸散敡搷㉦㘸㉤昷戴扡收㜷㜳㜸昶㕣㐹㝢㉦㔲扣〴搱戰ㄵ㐴慦ㄷ挰㜸戸摥㥦搷昹〶户㑤戲㡢ㄶ慥慥捡搶慤慣〶戹㤴搲〰㙤㔷摥攴㤵扤愹搸㔶㤶ㄸ㔸挲挶㍦愸㡤愳摦㕥搲㍤挹敡戶〶戴攱ㅡ㈱愲㘴〲戴㠳戴㜲㤶搸㜲戰攸㜴敢㤰㕢㠲㠵戰㉣晡慣っㄴ㠵㘳〹ㅢづ戶㤷扡㝥慥散㜹㈵攰晢ㄶ㔸〹愳㜲愰㤷㕦敢挳㈵挸挲ㄴ扢㝤敥搲㠵㜶ㄷ攱㡤㐶㡦㔴㔶㙥㕥㜲㉤㈶㥦摢户扢愵戵㙢っ㍣㥤搲搹戱㘸攱㡦㘹㠷戶捣㍦㐳攸㑦挳㜶ㄸ挵㍦㝣㥤㐰㔷摤㠰挵㡣㑤㜳㜳㕤㈳慤㔱㘳㙥㐹挱搱ち㘳㙢昱㥦㝣捣搷昰㕦愸愷扡㠶㔱㐰昴攵扡㘸〳昰㠳摡㘶攵㜳㜳㍢㙤戹搲摢㈸〵戰㍤戸㙤晦㡥捥挳㜳ㅤㅤ㠷昳搲摣㍡㔲敡㥡㙦摢摤扣㝡㍡搰扤㕡㉣㔷㠵㤵敡搷慦散ち愷敦㌲敢㌰搸㌷晥ち㌱㜸㝣㙢敢㜰㙤戱换㜸ㄳ慡㝥戸㡥㙢慣挶挲㔰捣攴㠵㐵昹敥攱㌳慣㐵敤昹昹挳ㄷ㐷㍡戳㘳㤶戴㜶戵愹㘱㔸㝢㕥㜳摣改攲昰㔷慤捦㕤㌷攱摡㠱㠳㥦㝤昱搹户晥慥戶㜰㉢慡㉥㠹㙥ぢ㝢㈳昰㘷扥つ愱㌶〳㡣戳ち㤶换㍦收扢㈸㥢敦㔱晣ㅤ〲㜳㠳戰㡤愹攱〳愷愸戶挳晦㥣ㅥ捣て㈹㍥㠲㔰㍢㐰㜰攳㌴㍦㠶搰ㅦ㌵〴昶ㄹ㜳㠹摢昶㔰㔷挷敤㌳㘸㐳㘶て㜵㙡㌴㄰㡣㥤㐹慥㑣戲㘳慥㠶㔰㈶っ〷ㄲ搰攸㔶㔴㕤㡤ㅤ㠳㘶㍦散㡡愷〱攴晦ㄷ㍢㘴㘷㌷晣㕦敥㕡㡣㄰㍥㜵㙡㈷慣慣㠴昳ㅢ㉣㤸摦㐲㌴㐴㈱㝥挸戵㕢ㅥ摤㉢㑢攵㔴㕥ㄵ㤴㍤愰つ搷㜶㘷捥敢散晢㍣扢づㅡ捡㘴改ㄸㄸ愴㡢㜲改㕢ㄷ㌸昹㠶㜵〱㘸㤹扤〷㤷ㄴ㤸㈸㠶攸㤲㙦ㄶ昶㙣晦搸㔳㍡搶ㅤ㍢ㅡ㘷㔶㉦㥢摣つ㝥㝡愶て㝥㠲㈸捥㘹㍦搶慣晤晦扡扦ㅦ换㙦㜲攰㝣㐶㡥㜳晥摦摥晤㍦敢晥晦搹敥㡥㝥昵〳㈱㌳㠲㐵㤹㐴㜸愰愱㍦收昷㔸ち昵㔸搹㔳㐳ㄵ㐳㜳㙦㠶㌱ㅡ㌰㕢ㄹ㌸㘶挴〸㜳㈶㥡㙦晥㔳㘳愲㔹攳㔶㔴摤㔳㐸挲愰捣戴㈶㙣愹慦〰ぢ㥥㘹〷愲摡ㅣ㐴㌱ㄸ挲㌷搳㌶㌹㐵㤵㠲㈱搹㌴挳〴慤ぢ愱㌲㔰挹㑣扢ㅥ㑡晡愳㍥㐱ㅦ摥㑣㥢㠶扡㝡愶摤㤰㌶捤ㅥ敡㔴ㄶ敤㍣ㅥ㝣㌳敤摢戵〸昸㥢㕢㔱㜵㍢㠳㌷㈳㐶搰㡢㘱㜴㜹㜵㑤〲㐶愰摡ㅣ㐹戱㈵㠴㡦㠰㔱㑥㔱㡤㠵ㄱ㈱㘰㙢㠲戶㠱㔰ㅣつ㐲挰戶㈸改㡦㝡搹㑦挰㙥㔰㔷ㄳ㌰㥡㌶捤ㅥ敡搴㌸戴ぢ㈲攰改㕡〴慣㜲㉢慡敥慡㑣㠴愵ㄱ昴㈲㐹㤷㥦慣㐹㐰ㅡ搵㘶㠶㈲ぢ攱㈳㘰ㄷ愷愸㈶挱㠸㄰戰㉢㐱㘳㈱搴㘴愸㠴㠰摤㔰搲ㅦ昵㤰㥦㠰㍤愰慥㈶㘰〲㙤㥡㍤搴愹㈹㘸ㄷ㐴挰ㅤ戵〸戸摤慤愸扡愱㌳ㄵ㤶戸扦㜵昷㌱搳戰㈸慢㌱㥤慢㌱㠳慢㌱〳㉡敥㘷昸ㄹ昷晥攰㠷㘴㘱㐱愳昳晦㘹晤摣晦ㅦㄹ㈷晡㍡㙥晣搳戱㈸㙢愵ㅣ㥤㐸㜳ㄶ㑡搸昸㝢愸散愹㑥捤㠴㤵搲㉡㜳攳㜷戶晡慢㙢慤昲㔵㙥㐵搵ㅤ愸扤㘱㘹〴晥捣㥦挰㠸扡ㄲ戰攰慤晥㄰昶㜱㈸㐵㌳㠴㉦收㤶㔳㔴晢挰㠸㤰㤵㈳㈸て愱收㐰㈵㌱㉦愰愴㍦敡㐲昴攱㙤昵戳愱慥㡥昹㝣摡㌴㝢愸㔳㜳搱慥㐴㐰改昸敡慣㕡〴慣㜰㉢慡㙥㝥敤て㑢㈳攸挵ㄱ㜴㜹㜹㑤〲扡㔰㙤㜶㔳㉣㠲昰ㄱ㜰愴㔳㔴〷挰㠸㄰戰㠴愰愵㄰敡㈰愸㠴㠰愳㔰搲ㅦ㜵戲㥦㠰〳愱慥㈶攰愷戴㘹昶㔰愷㝥㠲㜶㐱〴ㅣ㕤㡢㠰愳摣㡡慡晢㙥㠷挲搲〸㝡㜱㉡㕤㕥㔲㤳㠰㥦愱摡晣㌹挵改㄰㍥〲捥㜰㡡慡ㄹ㐶㠴㠰攵〴㥤〹愱㉣愸㠴㠰ㄵ㈸改㡦敡昰ㄳ㜰ㄸ搴搵〴㥣ぢ㝣挸散愱㑥攵搰㉥㠸〰扢ㄶ〱〵户愲敡㡥㕦〱㤶㝣㕢扤㡤愲慣挶㐵昰挱扣ㄸ㐲捤㠳㑡㙦昵㜵㝡㉢㕦戰收㐱愸敢敡㑥㝢摢昹㕦ちㄴ摣敡㡢昸㕦搶捡搳㔲㜱ㄹ搷慡挷捡㥥ㅡ慡昹戰㔱㕡攵搲㔶扦㙦慤㔵㥥敢㔶㔴摤愲㍣ㅣ㤶㐶搰愳敢戹㝡戳〱ぢ摥敡㙦㐴戵㜹ㄳ挵捤㄰扥㤸摦敡ㄴ㔵㉢㡣〸㔹扦㈷攸㌶〸搵づ㤵挴晣㜶㤴昴㐷㑤㐵ㅦ摥㔶摦〶㜵㜵捣敦愶㑤戳㠷㍡搵㠱㜶㈵〲㑡㕢晤敥戵〸搸捤慤愸扡㍢摡〹㑢㈳攸挵㈳㜴㜹搷㥡〴㍣㡡㙡昳㌱㡡挷㈱㝣〴㍣攱ㄴ㔵ㄷ㡣〸〱㑦ㄲ昴ㄴ㠴㕡〴㤵㄰戰ち㈵晤㔱㜱㍦〱扣搰㔵㑤挰㜳戴㘹昶㔰愷ㄶ愳㕤㄰〱摢搵㈲㘰㕢户愲敡挶散㔲㔸ㅡ㐱㉦㕥愵换㕢搷㈴攰㜵㔴㥢㙦㔰晣〵挲㐷挰㥢㑥㔱ㅤ〵㈳㐲挰㙡㠲摥㠲㔰扣㈵㉢〴晣つ㈵晤㔱㥢晢〹㌸ㅡ敡㙡〲摥愳㑤戳㠷㍡㜵㉣摡〵ㄱ㌰愴ㄶ〱敢戹ㄵ㔵昷㠴㤷挱搲〸㝡昱㈹㕤づ搷㈴攰㜳㔴㥢晦愴昸ㄷ㠴㡦㠰㉦㥤愲㍡ㅥ㐶㠴㠰慦〸晡ㅡ㐲㥤〸㤵㄰戰〶㈵晤㔱〳晣〴㥣〰㜵㌵〱摦〱ㅦ㌲㝢愸㔳㈷愱㕤㄰〱摦㝦㕦攳㜸晦㍢户愲敡㜶昴愹戰㌴㠲㕥㌴搴挳攵㙦〱ぢ㥥〳〶愰摡㙣愴㘰挲慡㡦㠰㠱㑥㔱㥤〶㈳㈳㘹㘸㄰㐱㠳㈱搴捦㔱ㄴ〲搶㐱㐹㝦搴攷攸挳㥢〳㝥〶㜵㌵〱敢〱ㅦ㌲㝢愸㔳愷愳㕤㄰〱㝦慦㐵挰㝢㙥㐵搵㥤昰攵戰㈴〴㙣㑡㤷摦愹㐹挰收愸㌶户愰ㄸ㐶敦㑡㤷㤶㐶㌸㐵㜵㈶っ㡤攴敡㡣㈴㘸㑢〸㜵ㄶ㡡㐲挰㔶㈸改㡦㝡摤㑦挰ち愸慢〹搸ㄶ昸㤰搹㐳㥤㍡ㅢ敤㠲〸㜸扥ㄶ〱捦戹ㄵ㔵㌷攱捦㠳㈵㈱㈰㑡㤷㥦愹㐹㐰ㅣ搵㘶㠲㈲㐹敦㑡〴愴㥤愲晡㈵っ㡤攴敡㘴〸捡㐲愸㕦愱㈸〴散㡣㤲晥愸㐷晤〴㥣て㜵㌵〱扢〱ㅦ㌲㝢愸㔳ㄷ愰㕤㄰〱昷搴㈲攰㙥户愲敡晥㍦敦攲ぢ〱㔳攸昲㥤㌵〹㤸㡡㙡㜳ㅡ挵㜴㝡㔷㈲㘰愶㔳㔴ㄷ挱搰㐸慥捥㕥〴捤㠲㔰㤷愰㈸〴散㡤㤲晥愸ㅢ晤〴㕣っ㜵㌵〱㜳㠱て㤹㍤搴愹㑢搱㉥㠸㠰㤵戵〸戸搲慤愸㑡㍤戸〲㤶㠴㠰㐳攸昲攵㌵〹㘸㐶戵㜹ㄸ㠵㐵敦㑡〴攴㥤愲扡ㄲ㠶㐶攲捦㉣㄰㘴㐳愸慢㔰ㄴ〲㡡㈸改㡦扡挰㑦挰㑡愸慢〹㔸〰㝣挸散愱㑥㕤㡤㜶㐱〴㥣㔹㡢㠰攵㙥㐵㔵搶挳㙦㘱㐹〸攸愲换扦愸㐹挰㈲㔴㥢㡢㈹㡥愴㜷㈵〲㤶㍡㐵㜵ㅤっ㡤攴敡ㅣ㐵搰搱㄰敡㝡ㄴ㠵㠰㘳㔰搲ㅦ㜵愲㥦㠰摦㐱㕤㑤挰㌲攰㐳㘶て㜵敡〶戴ぢ㈲㘰㘹㉤〲㤶戸ㄵ愹捡㠴㡢㥢㘱㐹〸昸ㄹ㕤㕥㕣㤳㠰搳㔱㙤晥㠲攲っ㝡㔷㈲攰㑣愷愸㙥㠱愱㤱㕣㥤ㄵ〴㥤〵愱㝥㡦愲㄰㜰㌶㑡晡愳摡晣〴㌰㔷愳㥡㠰㕦〲ㅦ㌲㝢愸㔳户愱㕤㄰〱昹㕡〴攴摣㡡慡㕣て㘶㙣〸〱㤷搰攵挳㙡ㄲ㜰ㄹ慡捤换㈹慥愰㜷㈵〲㔶㍡㐵㜵ㄷっ㡤攴敡㕣㐵搰搵㄰敡ㅥㄴ㠵㠰㙢㔰搲ㅦ戵扦㥦㠰扢愱慥㈶攰㜷挰㠷捣ㅥ敡ㄴ㜳㐷㠲〸㤸㔹㡢㠰ㄹ㙥㐵㔵㥡挹〳戰㈴〴摣㐶㤷愷搵㈴攰づ㔴㥢㜷㔲摣㐵敦㑡〴摣攳ㄴ搵㠳㌰㌴ㄲ㝦收扤〴摤〷愱ㅥ㐶㔱〸戸ㅦ㈵晤㔱攳晤〴㍣〴㜵㌵〱て〳ㅦ㌲㝢愸㔳㡦愰㕤㄰〱改㕡〴愴摣㡡慡っ㤷挷㘰㐹〸㜸㡡㉥㈷㙡ㄲ昰㌴慡捤㘷㈸㥥愵㜷㈵〲㥥㜷㡡敡㜱ㄸㅡ㈹慢㐳搰ぢ㄰敡〹ㄴ㠵㠰ㄷ㔱搲ㅦ戵㠳㥦㠰㍦㐲㕤㑤挰㉢挰㠷捣ㅥ敡搴㤳㘸ㄷ㐴挰㠸㕡〴っ㜷㉢㉡㤳㙢ㅡ㥥㠶愵㍥㈴㐵っ愴挳挵晤㕡散㈳㜹ㄷ㜷㥤㘲㔹捥晦攰攲愴㡥扤㍡扡㈷戵㜴㉤㙣戵㤶づ㈹扡ぢ晢捦户摢㤱㄰搲㠹扣㤰ち㕤挷挲㠵㜶挱㉣捥改㔸搴㤹户愷㑥晡摦㤰㌰㠲昵㐳攸㈴㔷愴㕥攱昳摦攵㐰搴愱㈵㐶〹敦㔶㌵㍣ぢ㠳㤵户戲㉢搳㑥㈴㔳㈴っ㘰㔳㠹搱戹㉤摤慤昶挰愲愴㝣挸㜲㘳ㄱ㉣㈲换愶㌰愰㌸㜷㍥㙥昱㑥ㅡ㕣㥣搲搹㔲㘸㙤㘹户ㄹ㡣昵ㅤ攸っ㝢ㅥ㌲㙡昶敥攸㙡攱敦㕣〶ㄷ攷㜶㕡敤㕤ぢ㤹ㅣ㤰㕦扡㕥㔹㐹戲〸ㅡ㡡ㄳ㕡摡扢搰㡤晣㜲㠳换㑤挵㌹昳㍢㡥挴㡦摡ㄶ戵戵㑦戱ㄶ㜶晤慦㠸㡡㘲㔸攴㈳愱㔱昵慡扥㕥㌵搶㌷晥户昱㌱摥挲㌶戶㈱㝥㉥搴㉥㍦ㄷㅡ㡥愱摡摤搹㤲㕢㐴捥愴㥢ㄸ㘴㝦ち〹㘳㕤挳㜳㔸慡捣〴昰㐵戱㈲㡤㠷敥㤶晤〲㈶㌰愳挴晢戱攰收㠰㥢㝦㠳㐷㠳摥㠶㤸㌶㘵摦愹愵〴户晦搱㉦敦ㅡ㥥㠷攵ㅦ㥣㑦戴〱挰敢㌸愳㠸㌹㐶ㅣ㔴搸㌸㌱ㄸ㔸慡ㅣ㤹愱愲㘰㌸㐸搷㈹㉤㑥㐶㑡捡愰攲っ㉢㘷户㈲㤳愶捤敡㕥挷㈹㌰愵〹㍦换敡㜲敢㈶㜶戴戵㔹ㅣ㜵捣愰㥢㤳户㕡敤挶攲昸㐵摤ㅤ昸昱㠸㔹㠴㤰愱改慡慣㈵㔰㔹㑢㐴㌵愸㌸㥢ㄹ㜶戲㑣㕢ㅤ昳慣捥㤶敥昹㙤㉤昹㐶ㄶ㤸〵昷扦㘲戸㘲ち改て㌲昵㐷㑦㈷㤵㐹㌴㑥㉡ぢ挲㍤〶㜹㘷愴㡥攱挷愰慥㔷〶晥愹晦昲㉥㌹㈶ㅦ搹愷㤸敦挲ㅡ㑦昰㘵㌶ㄲ㕦㍥㤳捣〶㉣㝥㜶ㅣ㠶愸捣㑦敡〵〲昰㘷扥〷㈸ㄷ昸搷晦㐵㠸ㅥ戳㜳〶〰㄰㥡搱㘱ㄵ㈶㕢㜹晣㔶㜴㠰晢㑢搱㐶㠴㤶戳㑤㘷㤸昹㔲ㄳ㤱㠲㠷㠴㤰挵㉤〵扢戳㤱㡡㌹昸㈵㙣㝦㘶㕡ㄹ㑥っ㤱㌹搲慦慥愱㘱㘰㘳㔰㕦㔳戵慤慤摣㉣ㄴ晦㉦㙤愷㔶搹晦㜸㥦捣敥㘴㍤ㄴ愲㙦收摦戱㍡收晢㕣愷㤷㔰攴晡㔴〰㍥㈰攰㐳㠸〶收晣㔴挶愶㍣㜵〹〹㑥㈶㐰晤㜹㝦扦㍦敦敢㌷敡晢昹つ戲㈲〳㝤昷敦つ攷扥㝤愳晥攱愶㌱〷愳摣㉥㠴㥣㈹㤶搹㕡搸㌹搴搵搷昷㐷愸㡤捡っ搴慡㙥㘱慣㙤㡥㉤改㔵㙡ぢ戸㘰㝣〴㡦㠷㜳㘳㠱晤收挰摦扢昰㔷㡢㝦〲ㄴ㘹㈵㙢昱㥦㝣㜰改昹ㄳ㌴慣ぢ愹搷㈰㌵ㅢ摢㔲ㄳ㕡ㄷ搲晣〷搹昸ㄴ㐲扤㡤㈲てぢ㝣㍢㌱昵㉥㡡摣㤱搵ㄹ㥦〱搲㠷㠹㔳扤㠷㐶㥣㍣捤捦㘹晢敦㔸攲㥣攴㡤搱㝦㐱摢晢ㄸ晤㠰㉤昰㘷㝥㐱㈳㙥㐱㝤㠸〵扤㈶扥挰㝦〹㡣昹ㄵ㠱ㅦ〵〳扥㈶㘰つ〱ㅦ〳挰攰ㅢ摦愰搴㌳愹晣〵㘵〰愹晦㐶㐳㤰晡㤹慦愷㙤愸㜱㐸晤㡥㍤㝤捦㥥扥昱〱㝣扥晥㠷㠰戵〴㝣ㅢっ㘰晥戵愹㈰搴昷㍥挰戳攰挰敤愲㥥〰㙣㐴挸㉦㠲戲㌲㙥〳愱㤳戸㤹㡣㥢㝣㉡昶㙣㡡户昳㈵㐰晣愵戲攲㝤晤戲〰つ㠰戶昷〰㌵愱ㄹ扥戸㔸㐸㈳㔸㤰㍦㈶〱〴〴㠸㍦㜳㌷㐳〴㌲㐱㈰〰㌰㤰㠰㐱〴㌰㘷㐰〲㌴ㄸ愵㥥〳挴㕦㉥〶〴愸〹つㄱ㈰㈶ㄳ攸㥥㝣〱ち戳愷㜵搹搳㌰〰㉡搹ㅢ〱㥤㌳敡搷〳㘴愳搲慦ㅣ㝢㍤㕥㔰㈳搱㔴㔸ㅤ㐲攳㑣ㄶ㈸㘳㜵〳㘸㝢㘷㜵ㄴ㥡攱㡢ㅦ敥搳㠸㘶㤵㤹〵㝡㔵ㅡ戸㜲捥㝣户ㄱ㌰收㔰〲㤹㜵㄰〰搸㤸㠰㑤〸㘰㈲㠲戰扡㈹㑡〳扤戹㘴㑡㌲㠸挰捤㠱〱㠱㑣㐶搰㐶攳愵㕥户愰搱㘱㌴捡挴㠱㑡〲㤹㉤攰㄰㌸ㅣ㤰扥㑣ㅢ㑣㌱㄰晥㐶搰㌶㜳つ捡昸摢ㄲ摡摥昹㘳㑥〲扥㜵收㔶㌴㠲〵昹㘳㘲㠲㕥ㄳ摦愶㌸ちㄸ㜳㙢〲㤹戴㄰〰搸㠶㠰㙤〹㘰ㅥ㠳昰户ㅤ㑡㍤㡦㑡晥㥥㌴㘰㔴敥㠰㠶㈰㜵㠲慦愷慤㠵搴㜵改敥㘸昶戴㈳㝢㥡敥〳昸㝣ㅤ㐳挰㑥〴㌰㌳㈱挰搷〸〱㔱〲㘶昹〰扣㤷攳㑥ㅢ㌱〲攲〴昰收㝦㘵摣㜸挷扦㤷㘹㠳昹〰ㄲ愰㈴㡤㌴愳㔴ㄶ愰㌴戴扤〷挸㐲㌳㝣㜱昱㤸㐶戰㈰㝦㌹挸㠰㜵捡〲㘳敥㑣㈰㌳っ〲〰扢㄰戰㉢〱㑣㍡㤰〰㡤㐵愹攷〰昱㠷戲〱〱摡ㅤつㄱ㈰㘶㈳攸㥥㝣〱ㅡ挷㥥挶戳㈷㘶づ㔴戲挷㜴㠱㕥搸㘳㌲㠱戰㌷㤱㐶㤸㔵㔰挶摥ㅥ搰昶捥ㅥ戳て昰慤㌳㈷搳㠸㘶㡦㈹〸摡㘵摦㤰㤹〲㡣戹㈷㠱㑣㑦〸〰㑣㈵㘰ㅡ〱捣㔸㄰昶愶愳搴㌳㝢晣㠱㙦〰㝢㌳搱㄰散㌱㤵㐱昷攴㘳㙦㉦昶㌴㡢㍤㌱敤愰㤲㍤收ㅡ㌸㜳挶摥㠰昴㘵捥㘰㠲㠲㤰扡て㙤㌳㔳愱㡣搴㌹搰昶㑥㉡㌳ㅡ昰挵て愷㘹㐴㤳捡戴〶扤㈶㍥㔲昷〵挶摣㡦挰㌳㠳〱晢ㄳ㜰〰〱捣㠲㄰㔲て㐴㘹㠴㌷攷〶㍤㜵㐲㝥慦ㅣ挰敡㑦搰ㄲ慣㌲㍦㐲晢攲㘳昵㘰㜶㜵〸扢㘲昲㠲〶昸㥣㍤㤴㠰㘶〲㤸搸㄰〰㌸㡣〰㡢㠰换㝣㠰ㄷ戱散㑥ㅡ㌹〲昲〴㌰㜷愰㌲㜰㌷㐲搷换戰㘷㍡㠱㐴挸愶ㄱ收ㄵ㤴㐵㘸ㅥ戴扤㐷㠸昹〷昸攲户搸㌴愲㈳挴㈴㠴㠰㜵㙡〱挶㕣㐰㈰ㄳㄴ〲〰㠷ㄳ搰㑡〰㜳ㄶ㈴㐲㙤㈸昵㍣散昹㐳散㠰〰㜵愰㈱〲挴㘴〶摤㤳敦㔸㘳㈱㝢㍡㠲㍤㌱昱愰㤲㍤㘶ㅢ昴挲ㅥ㜳ㄱ㠴扤㉥ㅡ㘱㔲㐲ㄹ㝢㡢愰敤㥤㍤㈶㉦攰㡢㍢ㅡ㌴愲搹㘳〶㠳㜶搹㌷㘴㡥〴挶㕣㐲㈰戳ㅢ〲〰㑢〹㌸㡡〰㈶㍣〸㝢㐷愳搴㌳㝢晣〱㜹〰㝢挷愲㈱搸㘳㈶㠴敥挹㌷扣㝦捡㥥㡥㘳㑦捣㕡愸㘴㡦愹ち捥愴戱っ㤰扥㑣ㅡ摣㈷ち愹挷搳㌶ㄳㅤ捡㐸㍤ㄱ摡摥㐹㝤ㄳ捤昰挵捦挰㘹㐴㤳扡ㅡ㑢㝡㑤㝣愴㥥っ㡣㜹ち㠱㙦〵〳㑥㈵攰㌴〲㤸㐴㈱愴晥っ愵㥥㐹攵敦攱〳㐸㍤ㅤつ㐱㉡戳㉢戴㉢扥㈱昹ぢ昶㜴〶㝢晡ㄴ㠰㑡㔲㤹晥攰っ㐹㤲㉡㥦ㄸ愴敦戲㤸㘲㜲㠴戰㜷㈶㡤㌰㑢愲㡣扤戳愰敤㥤㍤㘶㔳攰㡢ㅦ㡥搳〸ㄶ攴㡦㈹ㄵ摡㘵ㅦ㝢攷〰㘳㥥㑢㈰搳㉤〲〰攷ㄱ昰㑢〲㤸㠱㈱散㥤㡦㔲捦散昱㜷晣〱散㕤㠰㠶㘰㡦愹ㄹ扡㈷摦㤰晣㌵㝢扡㤰㍤㜱ㅤ㉢搹ㅢ〰㕤㉦散㌱戳㐲搸扢㠸㐶㤸㘲㔱挶摥㈵搰昶捥摥㐰㌴㠳㝦昸愹㌹㡤㘸昶㤸㡦愱㕤昶戱㜷ㄹ㌰收攵〴づづ〶㕣㐱挰㤵〴㌰㝤㐳搸㕢㠹㔲捦散昱昹〳〱散㕤㡤㠶㘰㡦㜹ㅤ摡ㄵㅦ㝢搷戰愷㙢搹ㄳ㜳㌰㉡搹㘳攲㐵㉦搳㈱搳㌲㠴扤敢㘸㠴昹ㄹ㘵散㕤て㙤敦散㡤㐰㌳㘱敦〶ㅡ搱散㌱㤹㐳扢散㘳敦㐶㘰捣㥢〸摣㌲ㄸ㜰㌳〱户㄰挰摣て㘱敦㔶㤴㝡㘶㡦捦㑤〸㘰敦㌶㌴〴㝢㑣ち搱慥昸搸扢㥤㍤摤挱㥥㤸挰㔱挹ㅥ戳㌶㥣改昰㑥㐰晡㌲ㅤ㌲搵㐳㐸扤㡢戶㤹昳㔱㐶敡㍤搰昶㑥㉡㜳㐳㠴搴㝢㘹㐴㤳捡〴ㄱ扤㈶㍥㔲敦〳挶扣㥦㐰㈶㡦〴〰ㅥ㈰攰㐱〲㤸㑦㈲愴㍥㠴㤲㜷摥㍡㈹㥥〸攲敦ㄱ㘰挰ㅦ㜳㑡戴搱㌱搴㌸㔷㘶晥㐰愳㡦搲攸ㄴ〰㉡昹㘳搲㐷㉦愳㡦㈹㈱㐲搴攳㌴㌲ㅤ愵㌲愲㥥㠰戶㜷愲㘶愲㤹㄰昵㈴㡤㘸愲㤸㐸愲㕤昶ㄱ昵ㄴ㌰收㉡〲㤹㘴ㄲ〰㜸㥡㠰㘷〸㘰摥㠹㄰昵㉣㑡㍤㡦㍥㍥愹㈲㘰昴㍤㡦㠶㘰㡦〹㈹扡㈷摦攸晢ㄳ㝢㝡㠱㍤㌱㜹愴㤲㍤㘶㡣昴㌲昳㌱㥦㐴搸㝢㠹㐶㉣㤴捡搸㝢ㄹ摡摥搹换愳㤹戰昷ち㡤㘸昶㤸㠵愲㕤昶戱昷㉡㌰收㙢〴摡挱㠰搷〹㜸㠳〰㈶慤〸㝢㝦㐱愹㘷昶昸㠴㡤〰昶摥㐴㐳戰挷㙣ㄶ敤㡡㡦扤搵散改㉤昶挴捣㤳㑡昶㤸㙥搲换搸㘳㌲㡡戰昷㌶㡤㌰㉢愵㡣扤㜷愱敤㥤㍤㘶慦〸㝢敦搱㠸㘶㡦㈹㉣摡㘵ㅦ㝢㝦〷挶㝣㥦㐰愶户〴〰㍥㈰攰㐳〲㤸昱㈲散㝤㠴㔲捦散昱挹㈰〱散㝤㠲㠶㘰㡦愹㌰扡㈷摦㌱换㍦搸搳愷散㠹㘹㉢㤵散㥤づ㕤㉦散㌱㤳㐵搸晢㥣㐶捥㐰愹㡣扤㝦㐱摢㍢㝢㑣㝤ㄱ昶扥愰ㄱ捤ㅥ昳㕦戴换㍥昶扥〴挶晣㡡㐰收挶〴〰扥㈶㘰つ〱㑣㤷ㄱ昶扥㐱愹㘷昶昸㐴㤳〰昶晥㡤㠶㘰㡦㜹㌴扡㈷摦搸晢㡥㍤㝤捦㥥㤸昳㔲挹摥㘵搰昵戲攵㌲つ㐶搸㕢㑢㈳㔷愰㔴挶ㅥ敦㝢昵捥摥㑡㌴ㄳ昶㜰ㄳ愴挴ㅥ㤳㘷戴换㍥昶晡㘱搹挴㈳ㅣ敡搴搵挱㠰〶〲っ〲㤸㙢㈳散つ㐰愹㘷昶昸㈴㤶〰昶攴改慢㈱挵㈴ㅣ敤㡡㡦扤㄰㝢ㅡ挸㥥㤸㌰㔳挹ㅥ戳㘴㝡㘱㡦㌹㌴挲摥㘰ㅡ㘱㌲㑤ㄹ㝢㑤搰昶捥ㅥ㤳㙥㠴扤㌰㡤攸戱挷捣ㅢ敤㌲昴搸搱つ㠰㌴搷挵戲戹ㅥ㠱捣捡〹〰っ㈱㘰㝤〲㤸愸㈳散㙤㠰㔲捦散昱〹㌲〱散㙤㠴㠶ㄸ㝢捣攰搱㍤昹搸ㅢ捡㥥㌶㘶㑦㑦〱㔰挹摥搳搰昵挲ㅥㄳ㜰㠴扤㑤㘹㠴㤹㌸㘵散㙤づ㙤敦散㌱㘳㐷搸摢㠲㐶㌴㝢㝦㠲㔶扢っ扤㘶㙦ㄸ㤶捤攱〴㌲愵㈷〰㌰㠲㠰㤱〴㌰换㐷搸摢ㄲ愵㥥搹攳㤳㙦〲搸ㅢ㠵㠶㘰㡦改㍦扡㈷ㅦ㝢㕢戳愷㙤搸ㄳ㌳〵㘴つ戶㘵挹㕤㠳㠶㜷愱慤扣㠹㔹㜵㠳㔹㝡㈸昲㔶昳㥣敥愵慤戸扤捦㐵摥搴㜴㤶㜸㝢㌶㈴㍡摣㙡敤攸挴㘳㡥晢㔷㍥挴挳㙢扢ちㅤて㕣扦攲〱㈹搲㡣㌵扣㤳摤昰昲扦慢ㅦ〲攲戵愷攳愵愷㈵戰つ㍦挶昶㜰㜱晤㤹㉤昹捥㡥慥㡥㘲昷昰㌹挸㕥ㄹ捥〷捥ㄴ敢敡㈲攳ㅢ㕥㠲挵挰㍥戹㘲晤摢戱㈲つ㡢昹〰㠶搰攱敤ㅤ㐷戶㡢㌷つ㕤㝣敥㡥昰㌵㘰〰扢〹戱ㅦ㝥戶〴㜹㘱摥昵㘶㘳㜳㌴攴攰㝥㘱摥㌶收っ㙡散㠸昲愸㠹ㄳ㈶捥㙥捥愷㡢㘹㉢㥤㑦㕢戱㕣㌲㤱戰㡡㤹㘸愴㤸戵㜲戹㐸㍥㤲㑥㘵慣㠲㌱挶㠳㈶㜳改㘸㌱㘱㕢戱㑣搱㑡攴㌳㤱㕣㌶㘱㘷㌳㘹㉢㤹捣ㄴ㔲挵㘴挱搸挹㠳㐶慤㑣㉡㘵㐷敤戸㤵㑦㈵愲㜹㉢㘳㔹㔶㌴㥢㡦愶攳昱扣㔵戴搳㘱摥扢愶㈷㘶〴㙤捣㈸㐵っ㈲捣晢搶愲㡦㔳㤵愰㐸㔲捦㕢搹㈵㍣愱搲愸攱ㄳ攸㝦攸㙤㘶㌴慡搳扦㡥敦㍦㘰㐰搵昳㔶慢㙥㑦㝢て昳㌰っ摥㥤㙥㜸ㅣ〱慡㝣㘴㐱㜰愳昲昸戳㌱㍢㌷㜷愶摦扢㐰㠴挲扣㈵捤ㅢ㕣挶慥㈸づ㤹㌸愱ㄹて㤹㤸㘳户㜷挹㠳㍦㌸㘸㡤戱愸㔸捦愹搰捦愳㄰晤㙥搰慦〳扤㉦㉤挷㘰㙥挰㈰攸攴㝥㍤㥥慥摣㘵㡣㠳㘶㕤㘸捡㥦㤶ㅣ收㑤㜰改㜶㍣敡挳攳摢摢ㄷ㔹慤挳扤㠷〳㥢慢改攵〸㡡㤱ㄴ㝢〰愴攴摥㌶㑢㤳㔹挲㠲晣昱摥㌶户㑡㜵ㄷ㐸攱戶㠰㡡㍡㤳〳㥣㘳㔹摤〱つ挷㜳昹㜸攴ㅤ㙥㈲捣㘹㤰ㄸ㡦扣㥢㉤攳㜱㍡捡捥㜸㉣挴愳挹㐸愴㘸挵㘳戶㤵㈸ㄴ散㑣搴捥挵ㄳ㔶㌶㥥戲ち〵㡣㍦㘳㠶〷捤摡戹愸㙤㐵散愴㥤㡤㈷搲㜸昰㔵づ戰㐸捥㡥㘴㔳ㄸ㘸戱愲㌱搳㠳挶慣㘲摣㡡ㄶち昱㔴㌶㤷㐸ㄵ㈳戹㕣㉣ㄵ㈹挴㜳㠹㑣㉣㙥挷㤲愹㌰㙦愹换昸摡ぢ㙤捣㔹ㄴ㝢㐳㠴㜹㍢㍤㘸㍣昲づ扢攸〵㉡㡤㠸㔷扣㘵捥㌱愹慥挵捡㜳扣㐰㠹㡢攴戴㜷㈰㐴㈸捣扢收っ㠰挹戸㥢㡣戱挹㠰㥡㡣愰挹愰㠵㜹㑢㕤㄰っ㤱ㄳㄱ愶㌲挸㔳㤰捤㍣ㄱ扣戱㉥戴ㄵ㔰㜲㘸换ㄶ攳㠵㐸㈱㔳㡣㘷ㄲ挹㐴㈴㘶㘷戲挵㔴㍥ㅤ㡦㘶ㄲ挵㘴捥戶搲㠶敤㐱攳戱㔴㈱㥡㑢ㄷ㈳㜶㉡㤳挸摡昱㕣㈶㥥㉢㐴㤲㠵㝣搱戲搲改㕣挶㈸㝡搰㙣㈱㤹㡢㈴戳愹㜴〴㜶愳昱㘲㈶ㄱ挹搸昹㐲㌶㔳戰愱㠸愵挲扣扢㉦㌴捣㐳ㅢ㜳㍥㐵ぢ㐴㤸㑡搱㉦愰敡㜰㡡㔶敡㤵搶ㄳ㘵㝡㡤挲扣搱捦㍤扡戱㤰㈸っ摢戲摣㑢攳〸㘸〷㌶㍢㡦〱攰㐶㘹㜴㐲㌱戸搹㐹㍡㜱㤲㙤㡣㉥愸捡㌷㠱㙥㠲㘴愳攸ㅣ㕦㈸㜴摡㕤㕤挶㈲愸㉡户㥤挵搰〵㙣㈹晤㕣㤷ㅡ㤵㙡㙣攴㤰て㌹て㌴㕥〲㜸㝣㥢㥦搴㝡ㄴ捣㈱挸戶换㈳㡦ぢ〹愱挳㈷㈲㈹愸搸摡㜱攴㌶㈳㈶攱昹挷㍣㐱㌷㡦㐲㙢搵〰搳戴㘸ㅥ捤ㄲㄶ攴㙦〰戴戲㐵㥤㠴㘱㔳扤㐵㥤〰㙤昵ㄶ搵㠸㐶㌰㠲慢挷㤰搸愲㑣㤴昱慤㌳㤶愱散っ㡤戸㙤㘷慤㐲㍥ㅥ捦㘴㈲㠹㘸㌱㤲㐹ㄵ愳挹㘸愶㄰㠹愶㡡戱㔸㉥㘱ㅣ敦㐱㡢ㄹ敥〸愲戱㐸㍡㔱㐸攴㤲戶㘵摢㤹㐸㍥ㄷ㡤㐶ㄲ㠹㝣戱㔰㌴㑥昰愰㔱㔸㑣搰㘲㍣㤲㑡㈴㔲〵㉢㤷㡦摡愹㘲㍣㤲捦挶㌳昱㔴㉥ㅣ㜲㍤㌱㑦㐴ㅢ昳㈴㡡㤳㈱挲〳戵扥㘲㠶ㅦ愴昵〲㤵㐶挴慢㈶攸㘵㡢敡昶㙦㔱㘷搰摥㜲㠸㔰㌸っ㐰捦㕢搴扡ㅡ㔱摡愲㤲攴㉣㐵昱㉢㜶㌲〴〸㠹挸〵㉣㐱㉤㝦ㅢ㐰㉢ㄱ㈹晡㈲㘲㕣〸㐸捤㥤戸㉡〴㠶㘹㐳㔸㐲㌳㍣㕡ㄳㄲ㘱摡挸㉤ㅢㄷ愳散㠴㈹㤷㑦愴戳㐵㑥㜱搸扢愶慣㙣戶㘸㘳㤶㉡㘲捡捡㐴昳㠵㜴挲戸挴㠳㘲㐷㥤㡤㘶㈳搸㠰搳㐹㙣㠵攰摥㡡㕡搱㜸㍣㙢㘳㕢㡤ㄷ搲挶愵ㅥ㌴㥤㐹㔸㔶㈶㤶㐸ㄶ㌲昹㐴㉥㥥捦ㄵ搲㐹散㥢㜳㠹㐴ㄱㄱ戳㌳挶㘵ㅥ戴㄰㡦㕢㔶㌲ぢ扢㠵㑣㈲ㄷ㡤攷搲㜱慢ㄸ㉤㈶㙤㍢㡦㉥昲㠵昰㔰扤ㄲ㤷愳㡤㜹〵挵㤵ㄴ㉢㈱挲ㅢ敢捡慢愸扡㥡攲ㅡ㡡㙢㔹戹㠹慥㈴搴㉣㙦慥㌶㐷愵〴㜸戶ㅢ㘰捣㈹㜵收㡤㐴摥〴ㄱち㌳つ〳ぢ㜵挶捤㤰㤵㕢敦㉤搰㤵㙦昶户㐲㔳扤㍤ㅢ扦㠷㍡㘰㜷ㅡㅥ愶㝤攳㘳㌲攴㤹摤收ㅤ㠰捡挴慢㐶愰㔲挶挵㕤㔰㜹攳㘲㑢㘸㘵㕣㑣昶㡤㡢搲扥㙦㔲攰㄰㘰㥡〶㡣攰〷〴㤰ㄸ〲愳㔰挶户捥戸ㅦ㘵㘷〸㔸搱㐸慥㤸㡡ㄵ搲㔶ㅣ㜱㑤挷慣㈴㜶㠲㠸㕣㌴㔳㑣愷㡢昹㥣昱㠰〷捤㐴戳昱㜴㉣㙢摢挹㡣㤵挸愵㔲㌹散昴昲㠹㈸㘲㙤㈷搲昱㘴捡㜸搰㠳收㌳戱㈲㐰昱㝣㉡ㄹ㑢搸昹㐸㉥㠳摤愵〵㜴㈴㠳昹㍦㥤〹㌳㉦㠴㥥㤸て愱㡤昹㌰挵㈳㄰攱㙤戴扥㘲㑢摤㔶敢换昱㙡〷攸㈵㤰㈹㌷㤰㌰㠲㥦づ搳摥㉡㠸㔰㜸㌴〰㍤㙦愹㍢㙡㐴㘹㑢㥤㐸㈳㤳㈸晥っ㈳攱㌱㐰攰㕢㘷扣㡣㤲㐳㕢㉣㥦㑣㘲㔶㡢攷戲挹㔴挲㉥攰㌸㌳㤲捤㘴ぢ㜱㍢㥦㐹ㄷ㔳㠵㠸昱㡡〷捤收㡢㤱㙣㌲ㅥ挱㝥㍦㥡挸搹昹㙣㌲㤱㑦㤰㤴㐲㌲ㅤ㑦㐴愳挶慢ㅥ㌴㥥挸ㄵ昳㔶㌴㙤挳㈲㐰昹㑣ㄴ㤴㠳戶㘴㌶ㄷ〳捦㠵昰㑥慥㈷收㙢㘸㘳扥㑥昱〶㐴㌸愲昵ㄵ晢扥愸搶㝢㔰㘹ㄹ㘶戶㡡㥣捤㜲摦㘷㜲㔷㘷㜲昷㘶㜲㠷㘶㜲ㅦ㘶㜲慦㘵㜲㌷ㄵ㡥扢㔸摦㑥㘹ㅡ挹昸〸㤵晦挵㑥㈹敥㍣攰晤ㄳ戴㔶㐹㤸㤶愱晥て㤶㘰㔴晥搲搰捡㔰㕦㌷㜰愸㌷〵づ昵っㅡ挱〸㝥㕥っ㠹愱㥥㐵ㄹ摦㍡攳㕦㈸㍢㌱挳ㄸ㡣摡ㄱ㉢㤵挸攲攸㉥㤷㑢攵攲㌸搶㈸攰挱㤶搸捦㘰昶㡢ㄸ㕦㜸搰㜸㌲㙡㐷慤㘴㍥㤹㉢挴ㄲ戱㕣㈶ㄳ挷敥慣㠸挳户㐲捥㡥ㄵ攳㈹攳㑢て㥡㠸㈰㡣㈹㍢ㄱ㠹㈳扣㌸㝡捣攲㔰㉦㕥挰㥥㈹㔲捣㈵㡢搱㜴㜸㘷搷ㄳ昳㉢戴㌱扦愶㔸〳ㄱ摥㐵敢㉢㠶晡慥㕡㉦㜸㐲愵㤱摡ㅤ㝡ㄹ敡捡㍦搴㌹戸㑤〵ㄱち㡦〳愰攷愱㍥㕥㈳㑡㐳㝤㙦㜲戶て挵㐰戴㔵ㄳ㠱㤰㠸っ㘲〹㙡昹摢〳㕡㠹挸扦扥つ㍡㑣昸ㅣ摡敡挳〴㈶搱挰㜹扣㐳〷愶㄰㤱㈹㈸攳㕢㘷慣㡢戲ㄳ㤱㈴㘶〵ㅣㄵ㘶戲㔶ㄱㄱ戰愳戹㐸㉡ㄳ挳搱㜲㌴㤲戱㌲㤱㤴㙤慣攷㐱戳〰㈴㜳〹㥣搱㐵㤳㠹㙣っ㌴攳㑣㌱㠷㡤慦ㄸ㑢ㄶ㔲㠹戸㌱挴㠳攲㤰㌱㔹㉣㘶挰㝤愱挸晤㡦㤵㐸㘷ち〸㌶㜶㐰改㘴慣㘰㠵昷㜴㍤㌱搷㐷ㅢ㜳〳㡡つ㈱挲㔳戵扥㈲㈲搳戴㕥昰㠴㑡㈳㌵ㄳ㝡㠹挸摢㈰挰㍢昰摥㠲昵挳㈰㐲攱扤〰挰㐲て〷摥戳㌴愲ㄴㄱ㍥㐴㐵摥〳㘰㙥㠷戶㙡ㅦ㈰㈴㈲摢戳㠴㍡昹㥢〳慤㐴攴愵挰㠸扣㄰ㄸㄱ㘶攰㐸㐴挶挰ㄴ㈲戲㉦捡昸搶ㄹ㍢愱散㐴㈴㥦㡦挴愳愹㜸愲㔰挴㘱ㄶ㑥㜶慣㔴㉣㤷㑤攷戳昹㔸ㅡㄳ㔶㉣㘶㐴㑡搰㔸㌴㡡搳昳ㅣ㥥晤㡢㔳愱㕣㉥ㅢ挵㝣㡦ㄳ敦㘲㍥㤱捤收㔳㌹㈳敡㐱㌳㌶㕥㕢㔴㡣挶ㄲ昹㥣㥤㈸攰挰㍥㤳挹攷昳㐵ㅣ㘵攴㔲㤹㘴㍥ㄲ摥捦昵挴㡣愱㡤ㄹ愷㐸㐰㠴昷搷晡㡡㠸ㅣ攰改〹㤵㐶挴慢㥦㐰㉦ㄱ㜹搴ㅦ㤱㕤〹ㅡぢㄱちㅦっ〰ㄶ㝡㠸挸㈱ㅡ㔱㡡挸愱㙣搰㑣㌱〵㙤挳捣晢挱户捥搸ㄳ㈵㠷戶㜴㌲㤵㡥攱敡㐵㉣㤹㐹攰㌸㈶㤹换攷㘳㔶㍡㤳㡣㐵戰㥥愹㜴摣㤸敡㐱敤㌴㡥㠱㈲搹㐲㌶㤷㉢㘰搲挰昹㈳づ㘲㘳㈹㥣攳㐴戳㤸㥡愲挶㌴てㅡ戱㌲挵㘴愲㤰攲搹㑦㈲ㄵ㡤㘵㘲㌶㜶〴㤹㘲㉥㡦昹〹㠷挰攱㘶搷ㄳ㜳㍡摡㤸㌳㈸㘶㐲㠴て搳晡㡡摤㠱愵昵㠲㈷㔴ㅡ㠵㤹㠷昴㐳㜷〷㜹ㄷ㉢扢〳戰㠰㜳ㄴ㥢㘴ㅣっ㙢晦挵敥㈰㘱ㄶ搰摡㍣ㄴ慤㤵つ搳㌲搴㥢㔹㠲㕡晥收㐱㉢㐳晤搲挰愱㝥㜱攰㔰㥦㡦㐶㌲搴昳㌰㠵愱摥㠲㌲扥㜵㐶〱㘵㈷㘶㌸慤㉣收㌱㈸㈳㐹ㅣ㤷㈴㙣づ㜳散㜹㤳愹㔸㌲㠷㕤㝢摣㌲㙣て㕡戴戳搸㠵攷搳㌸攲㐹㈶愲㈹摢挲㜳慦㜱搰㤴㉣挶搲改愸㥤㑤ㄹ㐵てㅡ挵搹っ慥〴㐴㌱扣ㄱ㕥㥣昵攳搲ㄳ慥㐵ㄵ㡢㜶㈴㤶挶慥㈱扣挰昵挴㥣㠷㌶收㝣㡡ㄶ㠸昰攱㕡㕦㌱搴㕢戵㕥昰㠴㑡㈳搵〱扤っ昵ㄵ晥愱㝥〴敢㍢㈱㐲㘱愶㐷㘱愱㠷愱㝥㠴㐶㤴㠶晡攱㙣搰㑡㜱っ摡慡㉥㈰㈴㈲挷戲〴戵晣㉤㠲㔶㈲㜲㐲㘰㐴㤶〵㐶㘴㌱ㅡ㐹㐴㡥㠷㈹㐴攴㐸㤴昱挵换㈰㔰㜶㈲〲㤶攳挹ㅣ㌶〳ㅣ㘲攲攴㉦㤹挱摣ㅥ挳扥㌷ㅤ㡤㈶㔲愹㜴摡㌸搱㠳挶㜳㜹ㅣ愹㐶㜱㑤㈱㙢㈵㌰〳㘱㙢㑡㕢昹㙣ㄴ挱挴捥㌷㘷ㄹ㈷㤵愰搱㝣〲㤷〰戱扢㐸挴ㄲ愹〴㉥㐰攴散㜸㍡㙥㐷㜲愹㐲㌶㙥㘷挲㑢㕣㑦捣㤳搱挶㍣㠵攲㔴㠸昰㔲慤慦㠸挸㔱㕡敦㐱愵愵㍡ㄶ㝡㠹㐸愷㍦㈲㘷搲摥ち㠸㔰㤸㈹㔷㔸攸㈱㈲挷㘹㐴㈹㈲㥤㙣搰㐵昱㙢戴㔵挷〳㈱ㄱ戹㤰㈵愸攵敦㐴㘸㈵㈲〵㕦㐴㡣㡢〰愹㝤搶㤸ぢっㄳㄳ慥㈴㑣㤷愰㌱挲㜴㌲捡昸搶ㄹ㤷愲散㠴㈹㔱挸㐷ぢ㜲㤲㄰挳㌵㔹捣散㐹㥣ㄹ㘲攲㑦㘵㌰㥤㘵戰㌵㕣收㐱㜳昹〸づ㘵㜱㘶㠱〹㌲㤱㡦攵戱ぢ㑥愶㜳搹㕣㈱㙦愵㘳挵㘲挱戸摣㠳挶戱摤㐴ㄳ㔶㉣ㅢ㐹摡搸挱㘳㥢挹愶㤳昹㘸ㄴ㤷〳㜲㤱㕣㉣ㄶ㘶㠶ㄷ㍤㌱慦㐰ㅢ昳㑡㡡㤵㄰攱㔳戵晥㉡慡慥愶戸㠶晡搳戴摥㠳㑡㑢㜵㍡昴ㄲ愶戹晥㌰㕤捦㜶㌷㐰㠴挲扦〰〰ぢ㑥㤸㡣㥢戰ㄸ㜰づ㘷摣っ㝤搵㠹㈱㜴ㄵ㈷㠶搰㔴㥦ㄸ㠶捦搰㕤㤴攲捣㠷〸挹㍢㕡捣㍢搱㐶㥤〹㠴挴昹㉥㤶㔰㈷㝦㘷㐱㉢㜱㥥散㡢戳挹㌸换ㄵ搰㐹㠱㈱㘵ㄶ㤸㠴昴㍥攰㄰搲㜳㔰挶ㄷ㘷㠱㈸㍢㈱捤ㄴ搲㤹㜸㉣㠶㑤㈷ㄵ挳㠵㑦㕣㡢㑦攵㔳搹㜴㌱㙥㘳㉥㡣㘷㘲挶〳ㅥ㌴㡦㐸㐶戰㕤攲昰㡡㐷搲㌸改㈹挶戰㝢㡦挶㌰㤱摡ㄱ㠴昴㐱て捡㠳戹㐸㌱ㄳ挷ㅥ慢㤸挰〵㝦㉢㙦挳㘶㈶㘳㈷㡢㔶っ㠷搱㘱愶㥤搱ㄳ昳㈱戴㌱ㅦ愶㜸〴㈲㝣㥥搶㔷㠴昴㤷㕡㉦㔰㘹㐴扣扡〰㝡〹㘹捡ㅦ搲愷㘸㙦ㄵ㐴㈸晣㙢〰戰攰㙥㜹っ愹挹昸㤹户㔰摣ちㄱ扥㔰㈳㑡ㄱ㔹挶〶挷㔳晣ㄹ〸㜵ㄱ㄰ㄲ㤱㤷㔹㠲㕡晥㉥㠱㔶㈲戲㙤㘰㐴戶づ㡣挸愵㘸㈴ㄱ㜹ㅤ愶㄰㤱换㔰挶户捥㜸〳㘵㈷㈲㝣攳㔷㈲挹扢㈴㤸户ち㠵㝣㉥㠹摢ㅡ㜶㌴㥢㡥㘷㌳愹㙣㉣㙢晣挵㠳收搲㈹㙣ㅦ㌸て挱昵ㄸ散㜲愲㔶ㅥ㔷㔷㜱ㄴ㠷㉢摡㤹㝣㈶㙢ㅢ㝦昵愰㌸㘱㡤愵㜳戸挲㡡㌳换〴づ扥戳戸敡㠶攳扡㐲〴㥢㕣㈱㕤挸㠷㤹捡㐶㑦捣㌷搱挶㕣㑤昱ㄶ㐴昸ち慤慦㠸〸㌳摢〴㑦㤴㠳㘷㑢㜵㌵㤴ㄲ㤱愱晥㠸㝣㐰搰㠷㄰愱昰㌵〰㘰愱㠷㠸㕣慢ㄱ愵㠸㥣捡〶愷㔱㝣挱㑥慥〳㐲㈲昲㈵㑢㔰换摦昵搰㑡㐴㐲晥㠸㙣㑦扥㜹㤷愰㌱㌰㈲㌷愰㤱㐴攴ㅢ㤸㐲㐴㙥㐴ㄹ摦㍡攳㕢㤴㥤㠸攰敡戶㠵昳ち摣扡㡡㘵㌱昰㜳攰㌰㠵㐱㙦攵搲㠹㘸㠶㤷戵晥敤㐱㜱㑤〵㌱㐸攰昸て搰〲づ愳搳㌸㈴㐸㐷戱㥢捡收戲戸㙣㘰㝣攷㐱攳㠸㙥㔴捥㐷ㄳ㠸㐸㌲㥦㑢挷攲昹㈴慥㜳ㄶ㈲愹㘲㌶㘵㠵㤹ㅥ㐷㑦捣敦搱挶晣て挵㕡㠸昰捤㕡㕦戱㜷㘲戶㕣〹㑦愸㌴㔲户㐱㈹ㄱ昹昶ㅢ摦挹捡〰〳昵㡤㄰愱昰敤〰〰摤挳摥改づ㡤㈸㐵㘴㌹ㅢ㥣㐹戱ㅥ㡣愸扢㠰㤰㠸っ㘱〹㙡㤴昱攸づ㐸㠹挸挷攸㕡㕦㘵㌶㌶〰愴昶摥改㐳㐰慢捦㈹敦㠵㈵〹搳㐶㘸㡣㌰摤㠷㌲扢㌰㠶愲散㠴〹㠷㘵昱㈴〶㌴㑥ㅦ㜹敡㕥挸㈵昲㔱散愰㌲愹㠸㠵㌱㥥㡣ㄸㅢ㝢㔰散戳㌰㉤攱㌶㑦㍣㠲㉢㌳㘹摣㘲㠸㐷㜰搵㉢㤷挱ㄱ㍢㉥㕦挶㡤㑤㍣㘸ㅥ㥢ㄶ㘲ㅥ挷昱ㅦ㡥〰㜱㈸㙥搹㌸慡㠸㐱攲㘶㔰㉥㙢㠵㤹㜰㐷㑦捣㑤搱挶摣㡣㘲㜳㠸昰〳㕡扦〵㔵挳㈸㠶㔳晦愰搶ㄳ㔵㙡愴ㅥ㠱㕥挲昴㠶㍦㑣愳〸摡ㅡ㈲ㄴ㘶愲ㅤ挳㘴㙣㠳㘲攰㑤扣㙤㔱ㄱ戴挷摡づ晡捡㍤搶昶搰㤵敦戱㜶㠰㈶㘰㡦昵愸敥㜶㌴敡㙢摣挴㍢㡦敢晦㑢㡡〸㐰敡㜱㌴㤱挱㄰㘵〹㙡昹㝢〲㕡ㄹっ捦昸〶㐳改㐲收慡挰戸㍦㠹㐶ㄲ昷㈴㑣㈱敥㑦愱㡣㙦㥤㤱㐲搹㠹㍢慥㉦ㄶ㜹㠷㌸㡤㐹㉦㠱㤳搱㡣ㅤ㑤攳愴㌳㡥㠳〷ㅣ㐶㕡㜱㈳㕤㠲㘶昲搹〲づ㔴㡡㠵愸㠵㌹㌶㤹挵㈵敦㘸ㅥ挷㈳挹㘲ㅥ搷搹㌲㐶挶㠳㘶㌰ㄸ㜲㈹っづ㕣搵㑢攰㐶ㅥ慥㠱攲㠸㈶㠷㠳晢㐲㌱㥤挹ㄴ挲慢㕣㑦捣㉣摡㤸㍢㔳散〲ㄱ㝥㕡敢㉢㌶捦㘷戴㥥㈸〷捦㤶敡㜹攸㈵敥昷晢攳㍥㤱愰㐹㄰愱㌰㔳〴㝢摥㍣㕦搰㠸搲收挹㠷㜲挹慢戵捣扤搸挹㑢㐰㐸㐴㘶戱愴㈳昲㌲戴ㄲ㤱㥢晣ㄱ昱づ㉡㙥〸㡣挸㉢㘸㈴ㄱ㤹〳㔳㠸挸慢㈸攳㕢㘷捣㐵搹㠹㠸㠵㥤㑢㉣㡦敢㘵攰㄰愷慦㤹㕣ㅣㄷ㠳㤳㌹ㅥ㌰攲㉣㈹ㄵ㌱昶昵愰〵慢㄰挷挵〱ㅣ昵ㄵ㜱㤷㠰昷〷愱㠸攰㘲㙡㉡㠹㉢愷㠵㠴戱㕦〹㕡㐸㔸挹㔴戴㤰㐸㘱ㅢ捤㐴愲㔶㌶㠹敤ㄵ㜷っ㜱扥㤵㐹㐷ㄲ攱搷㕣㑦捣晤搱挶㍣㠰攲㐰㠸昰敢㕡㕦戱ぢ㝢㐳敢㠹㉡㌵㔲㙦㐲㉦ㄱ戹搴ㅦㄱ㡢愰ㅣ㐴㈸扣ㅡ㠰㔲㐴㠲づ㉡摥搲㠸㔲㐴慥㘰㐴慥愴㘸㠵ㄱ昵㌶㄰ㄲ㤱㌶㤶㜴㐴摥㠵㔶㈲㜲戶㍦㈲摥㉥㙣㐵㘰㐴㤸㜶㈸ㄱ㌹〲愶㄰㤱扦愳㡣㙦㥤搱㠹戲ㄳ㤱㘸ㄴ㘷㔱㤹㜴ち户㙥ち㠹㜴㈴㤳㡤ㄴ㜰ㄴㄷ换ㄶ㘲㠵ㅣ㌶㠵㥣搱攵㐱㘳戸㡤㥢捣㈴㜱扢摡戲㐱㜵㌴㙢攱戲㔰㉣㠵㝤㔸㍣㠲敢㜰㌹愳摢㠳收㐱㍤㙥㥦㐷㔳戸㙡㠴㐳ㄵ㙣㉣戸㡤㠳戹㌱ㄵ挱㙤㐰ㅣ捡㠷摦㜷㍤㌱ㄷ愱㡤戹㤸攲㐸㠸昰〷㕡㕦戱㡤㝣愸昵ㅥ㔴㕡慡㑦愰㤷㠸㥣攰㡦挸㜱戴户っ〲〹づ〰㤴㈲ㄲ㜴愳晢㔳㡤㈸㐵攴户っ〶ㅦ㌹㘶晥ㅣ㐶搴攷㐰㐸㐴㑥㘷㐹㐷攴㕦搰㑡㐴扡〳㈳搲ㄹㄸㄱ愶㌲㑡㐴捥㠴㈹㐴攴㑢㤴昱挵㍢晦㔰㜶㈲㔲㐸㌳ぢ㈶㔷挸㐷戰㠳戱ぢ㤶㠵㐳敢㐲搴㑥ㄶ慣㘲ㄶ㈹〶㈹攳㉣て㡡㠸ㄴ㜱㜳㈶ㄶ㐹ㄴ㜳㌸愸挸㘴㜲戸挰㡣㕢㙣㜱㍢㠵㤷㠳挷㜳挶搹ㅥ戴㠰昹㉤㠷㙢てㄹ摣摥挳㤵つ㙣㑥㔱扣㌹扣㠰捤㈶㘲㐷㈳㜹㍢晣㤵敢㠹㜹づ摡㤸攷㔲㥣〷ㄱ晥㕡敢㉢㈲戲㐶敢〵㑦愸㌴㔲晦㠶㕥㈲㔲昰㐷攴㈲搶㕦っ㠱搴〳〰㝡㡥挸昷ㅡ㔱㡡挸捤っ挶㉤ㄴ搷挰㠸㕡ぢ㠴㐴攴㕡㤶㜴㐴ㄴ㤸㤵㠸散攷㡦㠸㌷㙢捤つ㡣㐸㍤ㅡ㐹㐴慥㠷㈹㐴愴ㅦち戰㕥㘷摣㠰戲ㄳ㤱㑣㉡㤶攷㈷㤱挵㜵㘴㥣戳攰㙡ㅤ〶戶捤〳㘵捣㐶戱㠴㜱愳〷戵搳戸㤰㠷愳散㠲㠵㝢愲挸㌸挲扤㔳摣㥢挶㡤〵摣敤挴捥㈱㙦摣攴㐱愳㘸㙡㘱㥦㤳戱㤲㤱㐴〱〹㑣㜸愲㑢㉣㤳㑦攲㉡ㄲ㙥ㄸ㈵㜲攱晥慥㈷收捤㘸㘳摥㐲㜱㉢㐴戸㐱敢㉢㘶㉤㐳敢〵㑦愸㌴㔲捣户㤴㠸㑣昶㐷攴ㅥ搶摦ぢㄱち㠷〰㈸㐵㈴㘸搶ㅡ愸ㄱ愵㠸昰挱㙥昲㉡㍥昳㌱ㄸ㔱㠳㠱㤰㠸㍣捥㤲㡥㐸ㄳ戴ㄲ㤱㑣㘰㐴㔲㠱ㄱ〹愳ㄱ扥戸㘷〷㔳㠸挸扡㈸㐸㐴㔶愱散㐴㈴㘹挵搲㐵ㅣㄵ攳㐲扥㥤戰㜰ㅦ㍡㤱㠸㈶㡢㌸ㄶ挳㌶ㄲ户㤳㌱攳㘹ㅦ搴捥㘰ㅦ㡥㝢㙣搸㘹㕢㐵摣愳捥攴㔲㔱愴摣挴㜱ㅦ〷㘷戲挶㌳ㅥㄴㅢ〲敥㍤昳慥㌳敦㝤㘳愷ㄲ捤㘶㜰ㅣ㤸攵愹㔶〲愱〹慦攷㝡㘲㍥㡢㌶收㜳ㄴ捦㐳㠴㠷㘸㝤㐵㐴搶搷㝡愲ㅣ㍣㕢㉡收㜰㑡㐴戶昵㐷攴㔵㠲㕥㠳〸㠵㠷〲搰㜳㐴㌶搶㠸㔲㐴昸愴㌹昳㐱㡡㜷搸挹愶㐰㐸㐴摥㘵〹㙡昹摢ㅣ㕡㠹挸㈶㠱ㄱㄹㅡㄸ㤱㉤搰〸摦㍡昳〳㤸㐲㐴㠶愱㈰ㄱ昹㄰㘵㈷㈲昱㜴ㄱ挷搵戸ㄷ㠶ㅢ扡㠹㔸㌲㥡挵㈰㑥愷敤ㄴ敥挴挴愳改㘸捣昸挸㠳㘲㥦㠰㉢晦戸㉡㠷昴慡㐴愶㠰㤳搹㘴扣ㄸ挳戹㉤戳慤昲㤱㠸昱戱〷㡤摢戸㍡攴㕣ㄹ挲挱㕣㌲㤵㈹〰㔱㡣攴㌳挸㉣戲㤲㤹㙣㜸戸敢㠹昹〹摡㤸晦愰昸ㄴ㈲㍣㐲敢㉢㈲㌲㔲敢㠹㜲昰㙣愹㐶㐱㉦ㄱ〹昹㈳昲㌵㐱㙢㈰㐲攱慤〱攸㌹㈲捣ㅢㄵ㐴㈹㈲㡦㤱戳挷㈹敡㜱㉤㍤捣㕣㔲㝣昱㉣ㄱ㤴〶昷㙢ㄸ㡤挲㉥戵摦㐴攷换慣摢愱昲㈵㝥㝢攰愵㝣晣㜵㐱㕤㍦㍣改挷㜹㍥㑥晦晡㥤晦㍢㕢㑣㘵攲攳戱昸搷昰摤㥡戵㙢晦〷㜶㌸挶㑡ㄹ愷戴㌸っ㝦㘶〳㔶戸㈱㠲搵㡤〴戹攸㈴〷捥挱㈳㡥散㌱ㄳ㈷愴挷昸摦ㅥ〷昲敢㌶㘸㥢摡㠵㙣㐲扢戳㙢㙥挷㜸扣攱㙣㥥扣㝡㙢㕤㥤㘵戸㠳㝥户摣愸㤲㘶㝣慥ぢ㑦㔷敢戶㜵戳㔹㥤㕥㍢扣慢つ搹慢愸搸㠱㙦愲摢愰㔴昲㍤㕦㘸搳㤲㜶㙡㝢ㄷ摥㥡㘸ㄷ戴挵㉥㍣㔷愷㝦㝤㍦ㄵ昸挸慦㐹ㅤ㙤㔶㑢晢ㄸ㍥㔰㠸搶昰摥挴愹〵ㄲ戰㘹挰搳㤵㈶戴㜴换搳挹㌶㐳扤㌲㜷〴㌹挶〰搰㘴㡣摤㙡㡦慤愲㤱㠶㌵〸挴て敥愳㥣㜶昶挸捤㌳㘴㥡㌰愸愲攴ㅤ㝦捡ㅣ挳㑥〶㐲户㐹攰㐳㡤戶㍡㘸慢㘸戶攱ぢ㜴ㅣ昸戸㐲㜷攵㤰㈱慡搹搹愳㝤㔱㕢㜵搷攸ㄹ㕤て㘶搷㌱慦敢㥤搸㜵㤳戳㝥㤳戰㝥敡㌳㜴挳㜵攴㈰づ㤹敢ㄲ捤㈳っ慡攸扢㑡戸〵搶㉢㈶摦搲㉦㉣搷㌵㌱㝤㤵ㅢㅡ㠷㠶敦愳㕦〹㔴㌷捥㔱慥敦晥㍦㜴㕣搳㉥㤵㉤㉥昹晣户扢㡣扡攸挶戵敥晦挷ㅤ扤晥つ㔳摥㍡敡摣摤敦摣攲攴㡦昶戹㜳昹敥㙡て戴ㄸ〵㍢㤵㉦ㄸ晢〸㑥扣㠶㘷㍥㔵扤㘱敤㐳户愲昲つ㙢攱挹戰㠴㙦㥤戹ㄱ㔶㜱㜰㍦㌵つ〵㙥昸敡㝤戴攰搶㈶ㅢ挸挶㕣㝦收㙦㍡㠱㥡㡥㈵㘳㔳ㅦ㕢敦〰㔸㘲㙢㜳愲㤹昲改愰㘷㄰㍤捣㐱㜳散愸搵㉥摡ㄹ〴㈳㠸摥摢㐳捦㈴㝡㑢攸㙡っ㠲㝤㌰〸搴ㅢ戰愰〹て㤹愳㠰㙥㍡〰敤晡㐶晢㠱㤵㉤㝡愵㍤㡦ㄶ㐱戴扦っ㜷〲㘹晦戳㕢㔱昹㕥㌷挵愴㑥㠷㥤〲㤶㡣搱ㅥ㍢愹㠶ㄷ搰㘶挷愰㜹挸ㅤ攰愸挲㤳挷㝡ㅥ攳ㅣ昵㈱㜳っ㤹㘵扡愹搳㤳捤㥥㈲㑥㑦ㄳ戶㡡愶搴戳攸㠹扤〱っ㜴㡣㘸㘶㥣㍡攸㈲搱〹〷㍤㠵攸愷㕣戴戳㐵愴㠸㕥〰っつ挸㐶㜰戸㕢㘰摦慡搵㉤搰戴㘲㍡㘷㠹戶〶〰㥣扣戱挷搰㌴㤰戶㐷摤㡡捡户㔴㠵㡦㠶㈵㝣㜱挵て摤㘳戴㌲㥦㔳㐶敢㈳㘸攱㡤搶摤攸摢㠹愸㜲搶㘴ㄹ㤶㡣㜱捥㥡挸戶晤〰挰愵搱㍡㠱㘸愶㔳㍡攸攳㠹㥥攴愰㘵戴摥攳愲㥤搱㍡㤹攸㤳㍤昴〹㐴敦〹㕤㡤搱扡㍦㐷敢ㅤ戰㔰ㅡ慤搳㠰㙥㍡〳敤晡㌶㕡㤹挶㔹搶愲搷搱晡㉢戴㈸搱晥㈶㘹㕢捤㜰摣〲㜷〲㘹扦搹慤愸㝣㌷㔶昸〲㔸挲ㄷ搹摥昰ㅤ戴㌳㍦㔳㘸扦ㄱ㉤㍣摡㘷㤳㥡换㔱攵㄰挹愴㑤㘳㉥㜴搸㘵㑣摥㉡㥡㔰搷〱慣攷捦㤰戹ㅦ搱㔷㜸㘸收㙤ㅡ〷㌸㘸搰㥥㔰㔷扢㘸㘷戸ㅤ㐴㌴昳㈸ㅤ摢㤷ㄲ㝤戰㠳挶㔰㑥愸㉢㠰㉥㔱㝣㈸搱㉢㍤昴㘵㐴ㅦ收愰㌱㤴ㄳ敡ㄲ搷㌶昴ㄸ昸㌹愲慦挲㌲㥤愳㑡㌱㌱㔳㝢慡㤸愰愹㐷㡢㘲愲愶敥愷㠹搹㤷㥣攵㝢㤹改ㅢ挷〱㠳㑦㜸㥣晣㔷户晥戸愶㥢㜴换㐳搴㠸戳挷㌷慣㍥慥㌲㤸㠲っ㜸搷㡣㘲搶㘵㔰㔰㝦つ摦〳㠳㝡㠱㕢㔱昹扥慦昰㕤戰㠴㉦㙥捥㘳晤ㄱ㔴㘶㕣㑡㔰捦㐷ぢ㉦愸ぢ㐸捥㐳愸㜲㠸㘷ㅡ愶搱敡㔰㈹㕢挷㌹〰㙢慡㐲㘶㍢搱て㝢攸〷㠸㕥攸愰㘵换㍢搳㐵㍢㐱敤㈴晡ㄱて晤㈰搱摤搰搵搸㤶づ攴戶㜴㍡㉣攸〰㠴捣挵㐰㌷㍤㠵㜶㘵㕢㠶㐳㜳て㍢摣㔵㤵㉤㉡改慦摡攱㌲慢㌲㠸昶㔳攰㑥㈰敤㈷扢ㄵ㔵㙦ㄹ㘳ㅥ愴挳㈵㜳㌳㡤㘳ㅤ㜶㌰㠸攳敡〴戴㈹捤挷挷㤱ㅤ㘶㐱㍡攸㔷㠸㍥摥㐱㘳㄰挷搵㑦㕤戴挳攵㠹㐴㌳戳搲㐱扦㑡昴挹づㅡ㜱㡡慢愳㕣戴戳㘷㌸㤵攸㑦㠰㈹慤㔳㘹㕡㕥攴扡㕥㜵㄰搱敤㔶㔴扥㐶㉣捣㘴㐸㝣昱㈰ㄱ搸挵㔰㘲㐶愳っ愵㑥戴昰㠶搲㤹散㤴㈹㠲㡥㡢晦挲㤲㜱㤶攷㘲㐴戵〳㕣ㅡ㑡攷㄰捤摣㐳〷捤㑣㐷攳㍣攸㙡っ㡥戹ㅣㅣぢ㘰愱㌴㌸捥愷㠵㌵㥥〵㈶㐰ㅡㄷ㌸晤挹㘰㉣扡晤㌹〴㕥㠸㥡㈶㡥愳扥つ㈵㔵搹愲搷愱挴慣挵㔱㈴敢慦ㄴ愵㘹搹㠲㍢㠱㐳改㌰户愲昲攵㘵㘱㘶㍣㘲愵昰㘶㈹昸づ摡挳㈸ぢ敤㠷愲㠵㐷晢ㄵ愴㠱㜹㠰づ㤱敢㘲挹㔸改搰㈰㕢昰㐱㉥つ捥晥敤㙡愲㤹㘰攸愰搷㈳晡㕡攸㙡搰㍥㠷戴敦〷ぢ㈵摡慦愳〵愶ㅣ㍡ㄶ㤸攵㘸㕣敦昴㈷戴捦㜶晢㜳㘸扦ㄱ㌵㑤㕢〰㠳㙦㙦ㄳ愹敦㤰㜹㔸㘵㡢㕥㘹摦づ㉤㐶〵搰㍥ㄳ敥〴搲㍥挳慤愸㝣㘵㕡㤸㘹㡤㐲晢㙤昰ㅤ戴㌳㌷㔱㘸㥦㠶ㄶㅥ敤㜷㤰〶收昹㌹㌴㌰㘱搱戸换㐷挳攴㌲ㅡ敥㈱㥡㔹㠴づ㍡㐲昴㝤づ㕡㠲㌴挱㐵㍢㐱㝡㠰㘸愶て㍡攸㈸搱て㐱户㘹昰㜹搳昸昱㡣搲㙥㌰㔱㡡搲㈳㠰㌷敤㡡㠶昸昶㠱昷戱㤵㉤㝡攵㝤ち㕡㡣ち攰㍤ぢ㜷〲㜹捦戸ㄵ㔵㙦㙡㘳ち愰戳挲㑣㘳㌴㥥㜴攸㤱ㅤ㝡ㄲ㙤昴㠱㘸挸㕣㐵㝡㤸㕢攸愰愷ㄲ晤㡣㠳㤶㠳㠵愸㡢㠶㔷搸晤㍦㐷㌴㌳ぢㅤ㌴㤳ㄹ㡤㍦㌹㘸㔰㥦㔰㍢扡㘸㘷收㝣㤱攸㐳㠱ㄹ攵慤㔳㘹收摣搶㜵扤㙡收摣挶慤愸㝣ㄵ㕢戸ㄹ㤶㘴㉣扤〶扢ㄸ㑢㜹㤴㘵㉣㡤㐲ぢ㙦㉣扤挱㑥㤹㑤攷戸挸㡣㐰攳慦㥥㡢ㄱ㌵〲攰搲捣戹㥡㘸愶改㌹㘸㈶〵ㅡ㝦㠳慥挶㈶㝣〰〷挷收戰㔰ㅡㅣ敦搰〲ㄳ昷ㅣぢ㐵㕡㜸捦改㑦㌶攱㡤摤晥㥣㑤昸㝤搴㌴ㅤ〱っ扥㝤ㄸ㑡捣昹㉢㙢搱敢㔰㘲㠲摦㈸㡦昶搲捣戹㍥摣〹ㅣ㑡㐳摣㡡捡ㄷ挰㠵㡦㠵㈵愱晤ㅦ昰ㅤ戴ㅦ㡦戲搰扥㉥㕡㜸戴㝦㐶ㅡ㤸㘲攷搰挰戴㍦攳㥦搰搵㈰㜲ㄶ㠹ㅣっ〳㈵㈲扦愰㠵㔳㍣ぢ㈷搲挲㔷搰戹㔷㔱㤴〹㜴㈹㜰㙢㠸㘶㈲㥦搳ㅦㄳ〲㡤㙦ㅤ戴搰摥攰愲ㅤ摡扦㐳㑤ㄳ㜳昵昰敤〳敤㉢㉡㕢昴㑡㍢戳昸㐶〵搰㕥〷㜷〲㘹㕦晢戵㔳㔱昹摡戹㌰㌳〰㠵昶晡㐶愱晤ㄲ㤴㠵昶敦搱挲愳扤㍦㉡搵ㄵ愸㜲㘸戸ㄴ㑢㠶〱㕤つ摡昷㈲敤摦挰㐰㠹昶㐶㕡㘰ㄲ㥤㘳攱㌲㕡〸㐱愷㘹晦ㄲ攸ㄲ敤㠳㠸㘶㘲㥥㠳㘶㠲㥦戱㡥㠳ㄶ摡㍦㜷搱づ敤㘱愲㜹搹㔶ㅢ㔰㑣攰㘳㠱昵㡡㠹㝣摡㤱㈶愶攸攱摢㠷攸㌰㥦慦慣㐵慦搱㘱敥摤愸㠰攸㝣っ慦〳愳昳㤱㕢㔱昹㑥扣㌰昳昶㈴㍡ㅢ㘲ㄵ戱㔱摣㠷戲㐴攷〳戴昰愲㌳㤴敢晦㄰慡ㅣ戶敥挷㤲戱㠹㡦慤㜷换搸摡㡣㘸收扥㌹攸〷㠸摥挲㐱换㝥敤㉤ㄷ敤散搷㠶ㄳ捤晣㌸〷晤㈰搱㈳愱慢ㄱ昹愹㡣晣㕦㘰㐱ㄳㅥ㌲户〲扡㠹㘹㜴昸昶㠱㜶收摣㤵戵攸㤵㜶㈶搸㡤ち愰晤ㄵ戸ㄳ㐸晢换㙥㐵攵㥢昸挲㑣捥ㄳ摡户㠷敦愰㥤ㄹ㜶㐲晢㑢㘸攱搱㍥㥡搴扣㠹㉡㠷ㅡ愶摤ㄹ㘳㙡㔳㌳㥤搴㍣㕦㐶㑤㠴ㄶ㔶㝢ㄶ晥㐲ぢ㌱攸戰㔱挸㌰㝦ㅡ㘸㍤㡣㐳㘶㠲攸户㍣昴㕦㠹㑥㌹㘸〹摣ㄳ㉥摡〹㕣〶㌵㑤捣㤵挳户て戴㌳戱慥慣㐵慦戴㌳㡢㙥㔴〰敤㝦㠰㍢㠱戴㍦攲㔶㔴扥晦㉦捣っ㍣愱㝤㌷昸づ摡㤹㐶㈷戴㍦㠴ㄶㅥ敤攳㐸挳昷愸㜲㘸㘷㙥㥤㌱挱㐷挳㝤㘵㌴㑣㈲晡㍦ㅥ㥡改㜵挶㘴攸㙡㡣摦搹っ搲㕤戰㔰ㅡ扦㝢搲挲㕡捦〲戳敥㡣㘹㑥㝦ㄲ愴摢摣晥㥣戹㘸〶㙡㥡㤸㄰〷㔸ㅦ㘸㘷昶㕣㔹㡢㕥㘹㘷慡摣愸〰摡㙦㠲㍢㠱戴摦攸㔶㔴扥㜵㌰㍣〴㤶㠴昶搹昰ㅤ戴㙦㠴戲搰㝥㍤㕡㜸戴捦㈵つ捣㑢㜳㘸㘷慥㥣戱㥦㡦㠶㙢换㘸㌸㠰㘸㈶戰㌹攸㡤㠹㍥〸扡ㅡ戴㠳挸慣㕡〹ぢ㈵摡て愶〵收戵㌹ㄶ㤸㐵㘷ㅣ敡昴㈷愳晤㌲户㍦㘷戴ㅦ㐶㌴戳攳扣㕤〰戳攴昴戶愳㠶愳愰㑤㌷㌱て慥㡣㙢戰㠸㑦てㄷ㈷㤸㌴㔷搶愲搷攸㐴搰㈲㈸㍡扦㠱搷㠱搱戹搰慤愸㝣㈵㘲㌸ち㑢ㄲ㥤㈲㔶ㄱ搱㐹愲㉣搱戹〰㉤扣攸捣攷晡㘷㔱攵戰挵㡣㌶㘳〱㜴㌵昸摥㤷㝣㥦〷〳㥡㤴㤰搹㑡ぢ㑣㍤㜳㉣愴㘹愱ㅤ㍡㍤ㄷ㥤〵戴收㌳㘴㉥㈴㥡搹㘷づ㥡戹㙥㐶愷㠳㤶攸㥣攱愲㥤攸㜴愳愶㠹㘹㘸㘵㈴昶㑡㍢㜳搶捡㕡昴㑡㍢ㄳ搴㠲㘸㍦つ敥〴搲㝥慡㕢㔱昹㈲挶昰㉣㔸ㄲ摡㡦㠲敦愰㝤づ捡㐲晢挹㘸攱搱㝥っ㘹搸ㅦ㔵づつ㑣㕢㌳㝥敡搰㈰㜳挳昱㉥つ捥摣戰㡣㘸收㤲㌹攸㝤㠹㍥〱扡ㅡ㐱㥡挶㈰ㅤぢぢ愵㈰㥤㐴ぢ㑣㌱㜳㉣㌰愱捤㌸挵改㑦㘸㕦敡昶攷搰㝥ㅡ㙡㥡㤸㙢㔶㐶㘲慦戴㌳㌱慤慣㐵慦戴㌳ぢ㉤㠸昶㙥戸ㄳ㐸㝢㤷㕢㔱昹晡挷㜰ㅢ㉣〹敤换攱㍢㘸㍦〲㘵愱晤〸戴昰㘸㕦㐱ㅡㄶ愱捡愱㠱戹㘹挶搹搰搵㈰㜲㙦ㄲ搹〶〳㈵㈲捦愵〵㘶㠶㌹ㄶ扡㘸攱㤷搰改挳搱ㄶ愰昵㔴ㄲ㌲㝦㐵昴㤱ㅥ㥡㔹㙢挶慦ㅤ戴㠴搹㜶搱㑥㤸㝦㠳㥡㈶㈶㤴㤵㤱搸㉢敤换㉡㕢昴㑡㍢㔳捤㠲㘸㍦っ敥〴搲摥散㔶㔴扥㜴㌲捣㌴㌵愱晤㜲昸づ摡捦㐴㔹㘸㍦〴㉤㍣摡慦㈴つ攷愰捡㈱㙤〵㤶㡣慢ㅣㅡ㘴昴ㅤ攸搲攰㡣扥㙢㠸㘶㔶㤸㠳㍥㡢攸摦㐲㔷㈳㐸晢㌱㐸晢挲㐲㈹㐸扦愳〵收㠹㌹ㄶ㤸㥡㘶摣攰昴㈷戴敦攳昶攷搰㝥ㄳ㙡㥡㤸㌵搶㌷摡㤹㘲㔶搶愲㔷摡㤹㑦ㄶ㐴晢っ戸ㄳ㐸晢㜴户攲㍦㜷㍦㜰搵愹摢㕣㌲昵扣㤵捤慢㉥晥昳攳㈷㠵㤹㡢㈶戴摦づ摦㐱晢昵㈸ぢ敤㔳搱挲愳晤㑥搲㜰㌳慡ㅣㅡ㤸㘵㘶摣敤搰㈰戴敦攱搲攰搰㝥㉦搱㑣晤㜲搰㌷ㄲ㝤㍦㜴㌵㘸㥦㐱摡挷挳㐲㠹昶〷㘹攱㔶捦挲㑤戴昰戰搳㥦搰㍥搶敤捦愱晤て愸㘹㘲㙡㔸ㄹ㠹扤㡥㜶收㤱㤵戵攸㤵㜶㈶㡤〵搱㥥㠱㍢㠱戴愷摤㡡㠵㜳㡥晢㜰昰扣㠷㈶晦晣㤴攷愲摦摣戴㙡敢㌰ㄳ捥㠴昶㈷攱㍢㘸㘷搶㤸搰㥥㐴ぢ㡦昶㔵愴攱㔹㔴㌹㐴㌲㤵捣㜸〶扡ㅡ㐴攲㝥㕡㔶㐵㘱愰㐴攴㜳戴昰㥣㘷攱㘹㕡昸ㄳ㜴㝡㤷扡㈳搰愵㕤敡㡢㐴㍦敦愱㤹㘴㘶晣搹㐱㑢㤸户㜳搱㑥㤸㕦㐱㑤ㄳ昳扦捡㐸散㤵㜶㈶㡢㤵戵攸㤵㜶㘶㠶〵搱扥ㄵ摣〹愴㝤㑢户愲昲戵㥥㘱㘶㤵〹敤㝦㠵敦愰㥤愹㘱㐲晢〸戴昰㘸㕦㑤ㅡ㤸㘱攵搰捥㝣㌱攳㙦搰搵愰ㅤ搷ㅡ㜱愹っ〶㑡戴扦㐳ぢ㑣散㜲㉣㌰㡤捣㜸て㍡㑤晢挶㐰㤷㘸㝦㥦攸㑦㍤㌴㌳挹㡣てㅤ戴搰扥㠱㡢㜶㘸晦ㄸ㌵㑤㕦〳㔳㐶㘲慦戴㌳㈳慣慣㐵慦戴㌳晤㉢㠸昶㌰摣〹愴扤挹慤愸㝡㤹㘸㍦㔸ち捣捥㤱昷㕢㡥㜱摥昶㠷㘷昹搹㕤愲㘸挲捡㌴ㄴ昹挰戶㠱㐵㍥攲捦㤶㔷づ攲昹㠳㉤慤慤昲攸扥㐱㜸昱㕦攷攱㜶攷っ扣攲ㄲ慦晢㥢搳搲收㍥慡つ慦扥攴㝢搴昴慢攵㑣㈹挹㔳慦㡡戳㍡昱慥戹〱挵愹㕤㜸㍣㔶愱戱㙤㙦慢扢摢敥㙣晦摦昰㔶㐰㍣㑣戱㍦㈷㌲攴㍦昵㔳慡慥㍥昰㌹㠶㝣㐰㘱㘰㘶㤵㐳㘱㠹㡦ㄹ㜸㘳㈵㔳搸敡昹扥挰晦敥㉤愵挶㍦㌱挴㝣て〷㉦昸㕥㠲搹㕦つ㐶㤴㥤㕦㌴㉤慢㤳㈴ㄱ昴㠵ㅦ戲㜱扣㝥〹搱て愹㔶㤲戵〹ㄱ㌲扦㠲㐶ㅥ㘹㈹〲㙦昴挳㐸愸㕣㍦㍥㕣㜲㌲〹㘸㌸戲愵搰㍤摦㤸㙦户捣㥢摦㡤愷㤶つ搴て㝦㐴㕤㕤㝦愶㠵昵㤴㤲挶慤㘳㐰㕢戳搵搹㘹㉤㙤㙣㙢㙥戵摢攷㜵捦㙦㙣㕥㡣っ㍣扣扣ㄳ㡤ㅢㅢㅢ捤㌵昰挷攱ㅡ㥢ㅣ戳扤㘸搵晣挶搵戲㐶㌱慢㑢戴摦晡戱㑣㠴攲㌰㌶晥つ㙤㑤㙥晡〷㜲昳㍤㥡㤸攴愶挴换㕡慡昸愸㑦㠷ㄷ挵㔴㉡㜲愳㍦㡡搹㔲攲㠵挲晢〵㍤㡦㤹ㄵ㈵摡㝡扦㜶㤴搶昶㜳戵戲ㅥ㘳戴戶扦㕦ㅢ搳摡〶扦㤶㜹㍢㘲搷昰㙢㤹㑥挳㜵㌶戹捥晤搵㥡慦㠲〲㙦愲㐵挵捡つ愴捡户㜲捣扣㈹㕢㌹㈶搷㐸㜷㠳摤敥戸摡㡡㐹㌴愲㕤挷慦㘵㘲㡣㘸㥢㕣慤慣ㅣ㔳㑥㈴ㅣ㘱㘸晤㉦㘰㉢ㅦ慢㥦〶扡扣ㅥ摡ㄸ㐳㈰捡挷敡晡搰昸摤㥥㡤㍥捡摣㘶㜲㡡戸戲㈱㤰㜴㐳㕣㘱ㄲ㡡㘸㌷昲㙢㤹㙣㈲摡愱㝥㉤㤳㑡㐴扢戱㕦换㔴ぢ㔹㤹㑤愰慤㌹戶摥つ㕣㤷捤搰愴㠲晥㉤愸昲搱捦㘴㡤戲昵攰挶㈰㕥っ㜷扤㄰晡㍢戵㜶㠴㕦换㕣ち挱㡥㜴戵戲捥捣㐲㄰敤㤶㝥敤㠹㕡扢㤵㕦换慣〲挱㡥昲㙢㤹ㄳ攰ㅢ㕢慦〶慥摣戶㘸㔱戱㜲摢㔳攵㕢㌹愶て㤴慤ㅣ㌳〴愴扢搱㙥㜷戲㜲扣敢㉦摡ㅤ晤㑥昰敥扥㘸挷昸戱扣㙦敥㜳敤戹㐰搷愲昴愳㝣㥢㡥㔳攵㜳敤ち搸㈹㜳㡤㜷搱愵扢愴扦㍢摥ㄹㄷ㙤捡搵ち挳扣〳㉥摡戴ㅦ换㝢换㜴捤挸㐰㕢㜳愴㍣ㅥ攸昱捥㘸㔲攱昱慥㔴昹㍣收摤改㌲㡦㜹〳㕡扣搸捤敦〵㙦㌴㡢㜶㜷扦昶ㄱ慤ㅤ攷㙡㘵㍤㜸搷㔵戰攳晤㕡摥㕤ㄵ敤〴扦㤶㜷㔱㐵㍢搱慦攵㍤㔰㕦㌸敥〹㕣戹挹㘸㔱戱㜲㝢㔲攵㕢㌹摥㉥㉤㕢㌹摥ㄱ㤵敥愶戹摤挹㐸攱㕤㑥搱㑥昷㍢挱扢㤹愲㥤攱挷昲㍥愱捦戵㕢〲㕤㥢㐵㍦捡㐷捡㍥㔴昹㕣攳㉤挵㌲搷㜸㠷㔰扡㥢攳㜷㠲㜷〲㐵㍢搷敦〴敦昸㠹㜶㕦扦戶ㅥ㔳戶㡣㤴晤愰慤㌹㔲慥つ昴昸〰㌴㌱づ㠴㈸㥦ㅦて㠲挶敦㜵㝦㜴㔱收㜵㈳㜷㙡昴收㘰㈰ㄹ㝤ㄹ〱㠳戴昶㄰㔷㉢㌴㠷戵昶㔰扦㜶㐳㘸㠵㔰㝡摤㕦㕤ㅡ攸㥥㠵㍡㤳敥㤵㜶愷㜹慡㝣㠴づ㠵㥤㌲搷㌶搳摤搹㐰搲㉤㝥搴㜰慤㉤晡戵㕢㘹敤㍣㔷㉢慢戱㍤戴㍥搷捥て㜴㙤〱晤㈸㜷慤㤵㉡㥦㙢愳㘱愷捣戵㠸敥慥摤摦㕤㐲㙢㍢㕣慤㌸㥣搱摡㠵㝥敤㙥搰晡㠶攱昲㐰搷扡攸㐷昹㌰㕣㐴㤵捦戵㜱戰㔳收摡㈴摤摤㤱晥敥昶搴摡㈵慥㔶昸㤹愱戵㑢晤搸搹搰捡㌰㍣ち摡㥡挳昰攴㐰㡦㡦㐱ㄳ攳㔸㠸昲㘱昸㔳㘸晣㕥捦㐵ㄷ㘵㕥ㅦ愰㍤㔹〶愴ㄷ敢㠳戵昶㜸㔷㉢㕥ㅦ愶戵㈷昸戱扣捥敤㈳昴㤸㐰昷㑥愶ㅦ攵㠴㥥㑡㤵㡦搰昹戰㔳收㕡慢敥敥㘷㝥㈷ㄶ㙡敤捦晤㑥㜴㙢敤改㝥㉤慦〵晢㠶㘱㔷愰㙢换改㐷昹㌰㕣㐱㤵捦戵㘳㘰愷捣戵㘵扡扢戳晤摤㥤愴戵攷戸㕡㘱敤㌴慤㍤搷㡦攵昵㔲ㅦ㙢ぢ〲㕤㍢㥦㝥㤴戳㜶〱㔵㍥搷㔶挰㑥㤹㙢攷敡敥㉥昴㍢昱㉢慤晤㡤摦㠹摦㘸敤㐵㝥㉤慦㈹晡㕣戳〲㕤扢㤴㝥㤴扢㜶㌹㔵㍥搷慥㠴㥤㌲搷慥搱摤㕤改敦敥㜷㕡扢搲搵ち㙢㌷㘹敤㔵㝥㉣慦扢昹〲㝡㐰愰㙢搷搲㡦昲㠰㕥㐷㤵捦戵㍢㘱愷捣戵㝢㜵㜷搷晢扢㝢㔰㙢㙦㜰戵攲摡ㅦ戴昶㐶㍦㤶搷愶㝣慥捤ち㜴敤ㄶ晡㔱敥摡敦愹昲戹戶ち㜶捡㕣㝢㑥㜷㜷扢摦㠹ㄷ戵昶づ扦ㄳ慦㘸敤㥤㝥㉤慦摦昸㕣㥢ㅣ攸摡㍤昴愳摣戵晢愸昲戹戶ㅡ㜶捡㕣㝢㐷㜷昷㠰摢㥤昰昳扥搶㍥攸㜷攲㘳慤㝤挸愷㙤昸〲摡ㅦ㝣愶捥昴戱㈱戸愶搱㙡攷扢㜱㤶㍡挱敡戲㜷㘸挵改㜶扦愰昷摥换㉦慦昴昹扤昹㌰㍡㔵㍣扦愶つ昳ㄱ㥦扢㑤㙢㕣㉤晥挳戵㈲㥥摤ㄲ搳挸㌳攴㈶㥥搵㑡㠹㜵㡡愷愶㜴搸晣〳慤昱慣㔴慣㍤敡户愶㔸挵昶㙣搱㔴㕦㔶敡愷㑢㘲㥢㘷㥡愵㥥ㅡ捡㑡㍣戳昴敡ㄴ捦ㅡ愵摦挷愸收〹愳昴晢㌸ㄶ㐸㌸晦㥡㜸㜲㔸敡㜷㥤戲ㄲ㑦〶㑢搶㜸㐲㈷搶晥㐸㌵捦攳挴摡ㄳ㔸昰慣㙤攸㙡ㅤㄶ㌶㉡㉢つ㉤㉢㙤散㉦愹捤㔰ㄲ摢㑦㔲捤㜳㉢戱晤ㄴㄶ㍣摢挳㕤慤挳搰㠸戲搲㐸㕤ㄲ㠶戶㉣㉢昱㍣挹㕢㡢愶㔱晥㤲攲戹㡦昴扢㡡敡敤摤㍡昳㘹㉣㜸晤昲ㄴ㐷摡㑢㘴㜸㙡㔳戲㌶㐶㤷㔸愷㜸扡㈲搶㥥愱㥡㘷㉡戲ㄶ捦㘲挱戳挶戳㤲㤲戵㤴㉥㠹摦㘹㕤ㄲ㙢㍣㤵㄰㙢捦㔱扤慢㕢㘷㍥㡦〵捦ㅡ捦ㄸ㑡搶㜸愶㔰㉡㡤搳㈵戱㍤扥慣㌴愱慣㌴搱㕦㔲㤳㔱㤲㝥晦㐴㌵て昰㘵㉤㕥挰㠲搷敦㌴㔷敢挴㘲扡㉥㐹㑦㍣㜸昷扣㔰戳㔰ㄲ㙢㉦㔲捤㘳㜲戱昶ㄲㄶ㍣㙢㜳㕣慤㌳㙡收敡㤲昰捤攳敤㤲㌵ㅥ㌴㡢戵㍦㔳捤㘳㘵戱昶㌲ㄶ㍣㙢〷扢㕡挷ㅡ㡦㠷扤昶㑤㍣づ昶㑡捡㐲㐹慣扤㐲㜵摥慤㌳㕦挵㠲㘷捤㜶戵捥㥡ㄶ换㑡㍣㜴ㄵ㙢㕣㙦戵〰㈵戱昶ㅡ搵㍣㈲ㄵ摦㕥挷㠲㘷慤摤搵㍡扥㜵攸㤲慣㈹㡦㌶㑢扥㜵愱㈴搶摥愰㥡〷㤱㘲敤㉦㔸昰慣ㅤ改㙡ㅤ摦㤶攸㤲㐴㘱愹㉥挹㔸㍡〶㈵戱昶㔷慡㝦敡搶㤹㙦㘲挱戳戶捣搵㍡搶㡥搷㈵戱㜶㠲㉥㠹戵㤳㔱ㄲ㙢慢愹收昱㤸昸昶ㄶㄶ㍣㙢㍣昶㤲戵㤱昶㍦搷㈵㔹搳搳晤㈵戵ㅣ㈵戱昶㌷慡㜹〸㈵搶摥挶㠲㘷㡤㠷㑢㘲㑤摡㥦愳㑢㘲晢㕣㕤ㄲ摦捥㐷㐹慣扤㐳昵〵㙥㥤昹㉥ㄶ㍣㙢㍣挲㈹昹昶ㅢ㕤ㄲ摢㍣愲昱㝡㔲㤷愲㈴搶摥愳晡㜲户捥晣㍢ㄶ㍣㙢㔷扡㕡㠷户㤵扡㈴扥㕤愵㑢攲ㅢて㌰挴摡晢㔴㕦攷搶㤹ㅦ㘰挱戳挶攳〸慦晦愶ㅢ㜴㐹慣摤愸㑢㘲㡤挷〴㘲敤㐳慡㝦敦搶㤹ㅦ㘱挱戳挶㕤㝦㘹㑤敦搰㈵㔹搳㍢晤㈵挵摤戸㔸晢㤸㙡敥挱搹捥晣〴ぢ㥥㌵敥慤㑢搶ㅥ搴㈵戱昶㤰扦愴ㅥ㜶㑢收㍦戰愰㍦攱㐷㔰㤰ㅢ㐳㥦㘲挱晣っ㘲㜰扤晡〳晥㤳慥捡愰㡦㙡攸㍦〹晤㤷〳㝤㉣㄰捡摤㤹㔸晤㤲搰慦ㅣ愸散愳搰戱昹㌵捡晡ㄳ收扥㑡愰㙢〸晤挶㠱㍥㠹晦慡ㅤ㜸㑡㐳晦㑤攸㜷づ㜴㔵㈰㤴㝢ぢ戱晡ㅦ㐲搷㍡搰㘷〲愱捦㙡愸挲㝢㘷捣㝡〸㌰㈰昳㍢㝤㉤㘳㠰昳扣㔸敤㑦㘸㠳〳㤵㈹戹ち晡㠲㠶づ㈰戴搱㠱捡㝣㕢〵攵扣㉢㔶㐳㠴づ㜴愰㌲㤹ㄲ㍡〸㘵晤〹扦慣愱㠳〹㕤挷㠱捡㑣㔹〵攵㡣㈹㔶挳㠴慥敢㐰㘵ㅡ慣㠲㜲㍡ㄴ攸㄰㐲搷㜷愰㌲挷ㄱ㕡挶〰攷㍡㠱㙥㐸攸㐶づ㔴㈶㌰㐲㠷愲慣㍦㘱㑥㘴〲摤㤸搰㑤ㅣ愸捣㑥㠴㤶㔹攵㉣㈵搰捤〸摤摣㠱捡搴㐳㘸ㄹ〳㥣㠲〴㍡㡣搰攱づ㔴收㤵㉡慢㥣㕦〴㍡㤲搰㉤ㅤ愸㑣ㅡ㔵㔰㑥ㅥ〲ㅤ㐵攸搶づ㔴㘶㠴㉡〷㌸㌳〸㜴㕢㐲户㜳愰戲戹㔷㐱戹搹ぢ㜴〷㐲㐷㍢㔰搹㤶慢愰摣愶〵㍡㠶搰㥤〴ㅡ搶ㅣ㈹㙥㥢㜲户昶戹㉦㥤扢戵ㄳ㘰〰敦㤷㔱摣㕥愵攲㔹户㈲㑣换㌱㌴㔷摣㐸愵敡改㡡㌶摣㜰愵㘲㔵㔵ㅢ㙥慤㔲昵㔴㐵ㅢ㙥挱㔲昱㘴㘵㥢戰摥㤸ㄵ户㕦挱㍣㔱搱㤸摢戴㔴晣搱摦㌸㑢㈷戹㈱㑢搵㘳ㄵ㙤戸㜱㑢挵愳晥㌶戲㘲摣愲愵敡㤱㡡㌶摣捡愵攲攱慡㌶摣戴愵敡愱㡡㌶摣摣愵攲挱慡㌶摣挶愵敡㠱㡡㌶摣敥愵攲晥慡㌶摣搸愵敡扥㡡㌶㥣〰愴攲摥慡㌶摣敡愵敡㥥㡡㌶㥣〹愴攲敥捡㌶㘱扤㐹㈸捥〳㠲戹慢愲㌱攷〶愹戸搳摦㜸㉡戴㡡ㄳ㠲㔴摤㕥搱㠶㤳㠴㔴摣㔶搵㠶㌳㠳㔴晤扥愲つ㘷ぢ愹戸戵慡つ愷〸愹扡愵愲つ愷つ愹戸搹摦㠶挱つ敢ㄹ㐴㜱搲㄰捣㡤ㄵ㡤㌹㤱㐸挵つ晥挶㜳愰㔵㥣㍤愴敡㜷ㄵ㙤㌸愳㐸挵㜵晥㌶㌲㥡㌸㡤㐸搵戵ㄵ㙤㌸戵㐸挵㌵晥㌶㐲㈰攷ㄳ愹扡慡愲つ攷ㄸ愹㔸改㙦㈳晤㜰㘲㤱慡㉢㉡摡㜰戲㤱㡡换慢摡㜰㠶㤱慡换㉡摡㜰搶㤱㡡㑢晤㙤挴㌷㑥㌵㔲㜵㜱㐵ㅢ㑥㍦㔲㜱㔱㔵ㅢ捥㌹㔲昵㥢㡡㌶㥣㠷愴攲挲慡㌶㕣㈹㌹㌶㈹㘲㐱㜱㘳㤶搲㍣㤶攸㠸㤴收戳挴搰㐸愹㠵㈵㠱㜳㤲搲㤳ㅢ㤶昱㘳㉥㔶㔱㝢㌸ㄶ昴㐷㐹㜳㙡昵㜰㘷㡤ㄲ㌳搴敡戱㐲㙤㔸㌷ㅣ昸㝦〰〴㝢戳〳</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</si>
</sst>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s>
  <fonts count="40" x14ac:knownFonts="1">
    <font>
      <sz val="10"/>
      <name val="Arial"/>
    </font>
    <font>
      <sz val="11"/>
      <color theme="1"/>
      <name val="Calibri"/>
      <family val="2"/>
      <scheme val="minor"/>
    </font>
    <font>
      <sz val="10"/>
      <name val="Arial"/>
      <family val="2"/>
    </font>
    <font>
      <b/>
      <sz val="10"/>
      <name val="Arial"/>
      <family val="2"/>
    </font>
    <font>
      <sz val="10"/>
      <name val="MS Sans Serif"/>
      <family val="2"/>
    </font>
    <font>
      <sz val="11"/>
      <name val="Calibri"/>
      <family val="2"/>
      <scheme val="minor"/>
    </font>
    <font>
      <b/>
      <sz val="11"/>
      <color indexed="26"/>
      <name val="Calibri"/>
      <family val="2"/>
      <scheme val="minor"/>
    </font>
    <font>
      <b/>
      <sz val="11"/>
      <name val="Calibri"/>
      <family val="2"/>
      <scheme val="minor"/>
    </font>
    <font>
      <sz val="18"/>
      <color rgb="FF1F497D"/>
      <name val="Cambria"/>
      <family val="1"/>
      <scheme val="major"/>
    </font>
    <font>
      <b/>
      <sz val="18"/>
      <color rgb="FF1F497D"/>
      <name val="Cambria"/>
      <family val="1"/>
      <scheme val="major"/>
    </font>
    <font>
      <u/>
      <sz val="10"/>
      <color theme="10"/>
      <name val="MS Sans Serif"/>
      <family val="2"/>
    </font>
    <font>
      <u/>
      <sz val="10"/>
      <color rgb="FFFF0000"/>
      <name val="Calibri"/>
      <family val="2"/>
      <scheme val="minor"/>
    </font>
    <font>
      <u/>
      <sz val="10"/>
      <color rgb="FF0070C0"/>
      <name val="Calibri"/>
      <family val="2"/>
      <scheme val="minor"/>
    </font>
    <font>
      <sz val="10"/>
      <name val="Arial"/>
      <family val="2"/>
    </font>
    <font>
      <b/>
      <sz val="11"/>
      <color rgb="FFFA7D00"/>
      <name val="Calibri"/>
      <family val="2"/>
      <scheme val="minor"/>
    </font>
    <font>
      <b/>
      <sz val="10"/>
      <name val="Calibri"/>
      <family val="2"/>
      <scheme val="minor"/>
    </font>
    <font>
      <sz val="10"/>
      <name val="Calibri"/>
      <family val="2"/>
      <scheme val="minor"/>
    </font>
    <font>
      <i/>
      <sz val="11"/>
      <name val="Calibri"/>
      <family val="2"/>
      <scheme val="minor"/>
    </font>
    <font>
      <sz val="9"/>
      <color indexed="81"/>
      <name val="Tahoma"/>
      <family val="2"/>
    </font>
    <font>
      <b/>
      <sz val="9"/>
      <color indexed="81"/>
      <name val="Tahoma"/>
      <family val="2"/>
    </font>
    <font>
      <sz val="18"/>
      <color theme="9" tint="-0.249977111117893"/>
      <name val="Wingdings"/>
      <charset val="2"/>
    </font>
    <font>
      <b/>
      <sz val="11"/>
      <color theme="9" tint="-0.249977111117893"/>
      <name val="Calibri"/>
      <family val="2"/>
      <scheme val="minor"/>
    </font>
    <font>
      <b/>
      <sz val="11"/>
      <color theme="9" tint="-0.249977111117893"/>
      <name val="Calibri"/>
      <family val="2"/>
    </font>
    <font>
      <sz val="9"/>
      <color rgb="FF1F497D"/>
      <name val="Calibri"/>
      <family val="2"/>
      <scheme val="minor"/>
    </font>
    <font>
      <sz val="9"/>
      <name val="Calibri"/>
      <family val="2"/>
      <scheme val="minor"/>
    </font>
    <font>
      <b/>
      <sz val="10"/>
      <color rgb="FF1F497D"/>
      <name val="Calibri"/>
      <family val="2"/>
      <scheme val="minor"/>
    </font>
    <font>
      <b/>
      <i/>
      <sz val="11"/>
      <name val="Calibri"/>
      <family val="2"/>
      <scheme val="minor"/>
    </font>
    <font>
      <sz val="11"/>
      <name val="Arial"/>
      <family val="2"/>
    </font>
    <font>
      <sz val="11"/>
      <color theme="1" tint="4.9989318521683403E-2"/>
      <name val="Calibri"/>
      <family val="2"/>
      <scheme val="minor"/>
    </font>
    <font>
      <sz val="11"/>
      <color indexed="43"/>
      <name val="Calibri"/>
      <family val="2"/>
      <scheme val="minor"/>
    </font>
    <font>
      <b/>
      <sz val="11"/>
      <color theme="1" tint="4.9989318521683403E-2"/>
      <name val="Calibri"/>
      <family val="2"/>
      <scheme val="minor"/>
    </font>
    <font>
      <b/>
      <sz val="11"/>
      <color indexed="43"/>
      <name val="Calibri"/>
      <family val="2"/>
      <scheme val="minor"/>
    </font>
    <font>
      <b/>
      <i/>
      <sz val="10"/>
      <name val="Calibri"/>
      <family val="2"/>
      <scheme val="minor"/>
    </font>
    <font>
      <sz val="11"/>
      <color theme="0" tint="-4.9989318521683403E-2"/>
      <name val="Calibri"/>
      <family val="2"/>
      <scheme val="minor"/>
    </font>
    <font>
      <b/>
      <sz val="11"/>
      <color theme="0" tint="-0.499984740745262"/>
      <name val="Calibri"/>
      <family val="2"/>
      <scheme val="minor"/>
    </font>
    <font>
      <sz val="8"/>
      <color rgb="FF000000"/>
      <name val="Segoe UI"/>
      <family val="2"/>
    </font>
    <font>
      <b/>
      <sz val="11"/>
      <color theme="1" tint="0.34998626667073579"/>
      <name val="Calibri"/>
      <family val="2"/>
      <scheme val="minor"/>
    </font>
    <font>
      <b/>
      <vertAlign val="superscript"/>
      <sz val="11"/>
      <color theme="0" tint="-0.499984740745262"/>
      <name val="Calibri"/>
      <family val="2"/>
      <scheme val="minor"/>
    </font>
    <font>
      <sz val="10"/>
      <color indexed="81"/>
      <name val="Calibri"/>
      <family val="2"/>
      <scheme val="minor"/>
    </font>
    <font>
      <sz val="9"/>
      <color theme="6" tint="-0.249977111117893"/>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00FF00"/>
        <bgColor indexed="64"/>
      </patternFill>
    </fill>
    <fill>
      <patternFill patternType="solid">
        <fgColor rgb="FF00FFFF"/>
        <bgColor indexed="64"/>
      </patternFill>
    </fill>
    <fill>
      <patternFill patternType="solid">
        <fgColor rgb="FFF2F2F2"/>
      </patternFill>
    </fill>
    <fill>
      <patternFill patternType="solid">
        <fgColor theme="0" tint="-4.9989318521683403E-2"/>
        <bgColor indexed="64"/>
      </patternFill>
    </fill>
    <fill>
      <patternFill patternType="lightUp">
        <bgColor theme="0" tint="-4.9989318521683403E-2"/>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00D600"/>
        <bgColor indexed="64"/>
      </patternFill>
    </fill>
    <fill>
      <patternFill patternType="solid">
        <fgColor theme="8" tint="0.59999389629810485"/>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7">
    <xf numFmtId="0" fontId="0" fillId="0" borderId="0"/>
    <xf numFmtId="43" fontId="2" fillId="0" borderId="0" applyFont="0" applyFill="0" applyBorder="0" applyAlignment="0" applyProtection="0"/>
    <xf numFmtId="44" fontId="2" fillId="0" borderId="0" applyFont="0" applyFill="0" applyBorder="0" applyAlignment="0" applyProtection="0"/>
    <xf numFmtId="0" fontId="4" fillId="0" borderId="0"/>
    <xf numFmtId="0" fontId="10" fillId="0" borderId="0" applyNumberFormat="0" applyFill="0" applyBorder="0" applyAlignment="0" applyProtection="0"/>
    <xf numFmtId="9" fontId="13" fillId="0" borderId="0" applyFont="0" applyFill="0" applyBorder="0" applyAlignment="0" applyProtection="0"/>
    <xf numFmtId="0" fontId="14" fillId="7" borderId="14" applyNumberFormat="0" applyAlignment="0" applyProtection="0"/>
  </cellStyleXfs>
  <cellXfs count="220">
    <xf numFmtId="0" fontId="0" fillId="0" borderId="0" xfId="0"/>
    <xf numFmtId="0" fontId="5" fillId="0" borderId="0" xfId="0" applyFont="1" applyFill="1"/>
    <xf numFmtId="0" fontId="6" fillId="0" borderId="0" xfId="0" applyFont="1" applyFill="1"/>
    <xf numFmtId="0" fontId="5" fillId="2" borderId="0" xfId="0" applyFont="1" applyFill="1" applyBorder="1"/>
    <xf numFmtId="0" fontId="5" fillId="0" borderId="0" xfId="0" applyFont="1" applyFill="1" applyBorder="1"/>
    <xf numFmtId="164" fontId="5" fillId="0" borderId="0" xfId="0" applyNumberFormat="1" applyFont="1" applyFill="1" applyBorder="1" applyAlignment="1">
      <alignment horizontal="center"/>
    </xf>
    <xf numFmtId="166" fontId="5" fillId="0" borderId="0" xfId="0" applyNumberFormat="1" applyFont="1" applyFill="1" applyBorder="1" applyAlignment="1">
      <alignment horizontal="center"/>
    </xf>
    <xf numFmtId="0" fontId="5" fillId="0" borderId="0" xfId="0" applyFont="1"/>
    <xf numFmtId="0" fontId="5" fillId="0" borderId="0" xfId="0" applyFont="1" applyBorder="1"/>
    <xf numFmtId="0" fontId="5" fillId="0" borderId="0" xfId="0" applyFont="1" applyFill="1" applyBorder="1" applyAlignment="1">
      <alignment horizontal="center"/>
    </xf>
    <xf numFmtId="165" fontId="5" fillId="0" borderId="0" xfId="0" applyNumberFormat="1" applyFont="1" applyFill="1" applyBorder="1"/>
    <xf numFmtId="165" fontId="5" fillId="0" borderId="0" xfId="2" applyNumberFormat="1" applyFont="1" applyFill="1" applyBorder="1" applyProtection="1">
      <protection locked="0"/>
    </xf>
    <xf numFmtId="165" fontId="5" fillId="0" borderId="3" xfId="2" applyNumberFormat="1" applyFont="1" applyFill="1" applyBorder="1" applyProtection="1">
      <protection locked="0"/>
    </xf>
    <xf numFmtId="165" fontId="5" fillId="0" borderId="5" xfId="2" applyNumberFormat="1" applyFont="1" applyFill="1" applyBorder="1" applyProtection="1">
      <protection locked="0"/>
    </xf>
    <xf numFmtId="165" fontId="5" fillId="0" borderId="1" xfId="2" applyNumberFormat="1" applyFont="1" applyFill="1" applyBorder="1"/>
    <xf numFmtId="165" fontId="5" fillId="0" borderId="1" xfId="2" applyNumberFormat="1" applyFont="1" applyFill="1" applyBorder="1" applyProtection="1">
      <protection locked="0"/>
    </xf>
    <xf numFmtId="165" fontId="5" fillId="0" borderId="2" xfId="2" applyNumberFormat="1" applyFont="1" applyFill="1" applyBorder="1" applyProtection="1">
      <protection locked="0"/>
    </xf>
    <xf numFmtId="165" fontId="5" fillId="0" borderId="0" xfId="2" applyNumberFormat="1" applyFont="1" applyFill="1" applyBorder="1"/>
    <xf numFmtId="165" fontId="5" fillId="0" borderId="4" xfId="2" applyNumberFormat="1" applyFont="1" applyFill="1" applyBorder="1" applyProtection="1">
      <protection locked="0"/>
    </xf>
    <xf numFmtId="0" fontId="8" fillId="0" borderId="0" xfId="0" applyFont="1" applyFill="1"/>
    <xf numFmtId="0" fontId="9" fillId="0" borderId="0" xfId="0" applyFont="1" applyFill="1"/>
    <xf numFmtId="0" fontId="3" fillId="0" borderId="0" xfId="0" applyFont="1"/>
    <xf numFmtId="0" fontId="0" fillId="0" borderId="0" xfId="0" quotePrefix="1"/>
    <xf numFmtId="0" fontId="7" fillId="0" borderId="0" xfId="0" applyFont="1" applyFill="1" applyBorder="1"/>
    <xf numFmtId="164" fontId="5"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center"/>
    </xf>
    <xf numFmtId="0" fontId="7" fillId="0" borderId="0" xfId="3" applyFont="1" applyAlignment="1">
      <alignment wrapText="1"/>
    </xf>
    <xf numFmtId="0" fontId="5" fillId="0" borderId="0" xfId="3" applyFont="1"/>
    <xf numFmtId="0" fontId="5" fillId="0" borderId="0" xfId="3" applyNumberFormat="1" applyFont="1" applyAlignment="1">
      <alignment wrapText="1"/>
    </xf>
    <xf numFmtId="0" fontId="5" fillId="0" borderId="0" xfId="3" applyFont="1" applyFill="1" applyBorder="1"/>
    <xf numFmtId="0" fontId="9" fillId="0" borderId="0" xfId="3" applyFont="1" applyAlignment="1">
      <alignment wrapText="1"/>
    </xf>
    <xf numFmtId="0" fontId="8" fillId="0" borderId="0" xfId="3" applyFont="1"/>
    <xf numFmtId="0" fontId="11" fillId="0" borderId="0" xfId="4" applyFont="1" applyAlignment="1">
      <alignment horizontal="center" vertical="center"/>
    </xf>
    <xf numFmtId="0" fontId="12" fillId="0" borderId="0" xfId="4" applyFont="1" applyAlignment="1">
      <alignment horizontal="center" vertical="center"/>
    </xf>
    <xf numFmtId="0" fontId="7" fillId="0" borderId="0" xfId="0" applyFont="1" applyFill="1" applyBorder="1" applyAlignment="1">
      <alignment horizontal="center"/>
    </xf>
    <xf numFmtId="3" fontId="5" fillId="0" borderId="0" xfId="0" applyNumberFormat="1" applyFont="1" applyAlignment="1">
      <alignment horizontal="center"/>
    </xf>
    <xf numFmtId="4" fontId="5" fillId="0" borderId="0" xfId="0" applyNumberFormat="1" applyFont="1" applyAlignment="1">
      <alignment horizontal="center"/>
    </xf>
    <xf numFmtId="6" fontId="5" fillId="0" borderId="0" xfId="0" applyNumberFormat="1" applyFont="1" applyAlignment="1">
      <alignment horizontal="center"/>
    </xf>
    <xf numFmtId="0" fontId="5" fillId="0" borderId="6" xfId="0" applyFont="1" applyFill="1" applyBorder="1"/>
    <xf numFmtId="9" fontId="5" fillId="0" borderId="7" xfId="0" applyNumberFormat="1" applyFont="1" applyBorder="1" applyAlignment="1">
      <alignment horizontal="center"/>
    </xf>
    <xf numFmtId="3" fontId="5" fillId="0" borderId="7" xfId="0" applyNumberFormat="1" applyFont="1" applyBorder="1" applyAlignment="1">
      <alignment horizontal="center"/>
    </xf>
    <xf numFmtId="0" fontId="7" fillId="4" borderId="8" xfId="0" applyFont="1" applyFill="1" applyBorder="1"/>
    <xf numFmtId="0" fontId="7" fillId="4" borderId="9" xfId="0" applyFont="1" applyFill="1" applyBorder="1" applyAlignment="1">
      <alignment horizontal="center"/>
    </xf>
    <xf numFmtId="0" fontId="7" fillId="4" borderId="10" xfId="0" applyFont="1" applyFill="1" applyBorder="1" applyAlignment="1">
      <alignment horizontal="center"/>
    </xf>
    <xf numFmtId="43" fontId="3" fillId="3" borderId="12" xfId="1" applyFont="1" applyFill="1" applyBorder="1"/>
    <xf numFmtId="43" fontId="3" fillId="3" borderId="13" xfId="1" applyFont="1" applyFill="1" applyBorder="1"/>
    <xf numFmtId="0" fontId="3" fillId="3" borderId="11" xfId="0" applyFont="1" applyFill="1" applyBorder="1"/>
    <xf numFmtId="6" fontId="5" fillId="0" borderId="6" xfId="0" applyNumberFormat="1" applyFont="1" applyFill="1" applyBorder="1"/>
    <xf numFmtId="6" fontId="5" fillId="0" borderId="7" xfId="0" applyNumberFormat="1" applyFont="1" applyBorder="1" applyAlignment="1">
      <alignment horizontal="center"/>
    </xf>
    <xf numFmtId="164" fontId="5" fillId="0" borderId="20" xfId="0" applyNumberFormat="1" applyFont="1" applyFill="1" applyBorder="1" applyAlignment="1">
      <alignment horizontal="center"/>
    </xf>
    <xf numFmtId="166" fontId="5" fillId="0" borderId="20" xfId="0" applyNumberFormat="1" applyFont="1" applyFill="1" applyBorder="1" applyAlignment="1">
      <alignment horizontal="center"/>
    </xf>
    <xf numFmtId="0" fontId="5" fillId="0" borderId="19" xfId="0" applyFont="1" applyBorder="1"/>
    <xf numFmtId="0" fontId="5" fillId="0" borderId="21" xfId="0" applyFont="1" applyBorder="1"/>
    <xf numFmtId="8" fontId="5" fillId="0" borderId="0" xfId="0" applyNumberFormat="1" applyFont="1" applyFill="1" applyBorder="1" applyAlignment="1">
      <alignment horizontal="center"/>
    </xf>
    <xf numFmtId="8" fontId="5" fillId="0" borderId="20" xfId="0" applyNumberFormat="1" applyFont="1" applyFill="1" applyBorder="1" applyAlignment="1">
      <alignment horizontal="center"/>
    </xf>
    <xf numFmtId="8" fontId="5" fillId="0" borderId="22" xfId="0" applyNumberFormat="1" applyFont="1" applyFill="1" applyBorder="1" applyAlignment="1">
      <alignment horizontal="center"/>
    </xf>
    <xf numFmtId="8" fontId="5" fillId="0" borderId="23" xfId="0" applyNumberFormat="1" applyFont="1" applyFill="1" applyBorder="1" applyAlignment="1">
      <alignment horizontal="center"/>
    </xf>
    <xf numFmtId="0" fontId="5" fillId="0" borderId="16" xfId="0" applyFont="1" applyFill="1" applyBorder="1"/>
    <xf numFmtId="0" fontId="5" fillId="0" borderId="19" xfId="0" applyFont="1" applyFill="1" applyBorder="1"/>
    <xf numFmtId="0" fontId="17" fillId="0" borderId="19" xfId="0" applyFont="1" applyFill="1" applyBorder="1"/>
    <xf numFmtId="0" fontId="7" fillId="0" borderId="0" xfId="0" applyFont="1" applyFill="1"/>
    <xf numFmtId="0" fontId="5" fillId="0" borderId="19" xfId="0" applyFont="1" applyFill="1" applyBorder="1" applyAlignment="1">
      <alignment horizontal="left"/>
    </xf>
    <xf numFmtId="9" fontId="5" fillId="0" borderId="6" xfId="5" applyFont="1" applyFill="1" applyBorder="1"/>
    <xf numFmtId="9" fontId="5" fillId="0" borderId="7" xfId="5" applyFont="1" applyBorder="1" applyAlignment="1">
      <alignment horizontal="center"/>
    </xf>
    <xf numFmtId="0" fontId="7" fillId="0" borderId="0" xfId="0" applyFont="1" applyFill="1" applyAlignment="1">
      <alignment horizontal="center"/>
    </xf>
    <xf numFmtId="0" fontId="5" fillId="5" borderId="0" xfId="0" applyFont="1" applyFill="1" applyBorder="1" applyAlignment="1">
      <alignment horizontal="center"/>
    </xf>
    <xf numFmtId="3" fontId="5" fillId="5" borderId="0" xfId="0" applyNumberFormat="1" applyFont="1" applyFill="1" applyBorder="1" applyAlignment="1">
      <alignment horizontal="center"/>
    </xf>
    <xf numFmtId="9" fontId="14" fillId="7" borderId="15" xfId="6" applyNumberFormat="1" applyBorder="1" applyAlignment="1">
      <alignment horizontal="center"/>
    </xf>
    <xf numFmtId="0" fontId="17" fillId="0" borderId="16" xfId="0" applyFont="1" applyFill="1" applyBorder="1" applyAlignment="1">
      <alignment vertical="center"/>
    </xf>
    <xf numFmtId="164" fontId="5" fillId="0" borderId="17" xfId="0" applyNumberFormat="1" applyFont="1" applyFill="1" applyBorder="1" applyAlignment="1">
      <alignment horizontal="center" vertical="center"/>
    </xf>
    <xf numFmtId="8" fontId="5" fillId="8" borderId="0" xfId="2" applyNumberFormat="1" applyFont="1" applyFill="1" applyBorder="1" applyAlignment="1"/>
    <xf numFmtId="0" fontId="7" fillId="8" borderId="16" xfId="0" applyFont="1" applyFill="1" applyBorder="1"/>
    <xf numFmtId="0" fontId="7" fillId="8" borderId="19" xfId="0" applyFont="1" applyFill="1" applyBorder="1"/>
    <xf numFmtId="0" fontId="7" fillId="8" borderId="21" xfId="0" applyFont="1" applyFill="1" applyBorder="1"/>
    <xf numFmtId="9" fontId="5" fillId="8" borderId="22" xfId="5" applyFont="1" applyFill="1" applyBorder="1" applyAlignment="1">
      <alignment horizontal="center"/>
    </xf>
    <xf numFmtId="0" fontId="5" fillId="9" borderId="16" xfId="0" applyFont="1" applyFill="1" applyBorder="1" applyAlignment="1">
      <alignment horizontal="center" vertical="center"/>
    </xf>
    <xf numFmtId="0" fontId="5" fillId="9" borderId="18" xfId="0" applyFont="1" applyFill="1" applyBorder="1" applyAlignment="1">
      <alignment vertical="center"/>
    </xf>
    <xf numFmtId="0" fontId="5" fillId="9" borderId="19" xfId="0" applyFont="1" applyFill="1" applyBorder="1" applyAlignment="1">
      <alignment horizontal="center"/>
    </xf>
    <xf numFmtId="0" fontId="5" fillId="9" borderId="20" xfId="0" applyFont="1" applyFill="1" applyBorder="1"/>
    <xf numFmtId="165" fontId="5" fillId="9" borderId="19" xfId="0" applyNumberFormat="1" applyFont="1" applyFill="1" applyBorder="1" applyAlignment="1">
      <alignment horizontal="center"/>
    </xf>
    <xf numFmtId="0" fontId="20" fillId="0" borderId="0" xfId="0" applyFont="1" applyFill="1" applyAlignment="1">
      <alignment horizontal="center"/>
    </xf>
    <xf numFmtId="0" fontId="5" fillId="2" borderId="0" xfId="0" applyFont="1" applyFill="1" applyBorder="1" applyAlignment="1">
      <alignment vertical="center"/>
    </xf>
    <xf numFmtId="0" fontId="7" fillId="0" borderId="0" xfId="0" applyFont="1" applyFill="1" applyAlignment="1">
      <alignment vertical="center"/>
    </xf>
    <xf numFmtId="0" fontId="16" fillId="0" borderId="0" xfId="0" applyFont="1" applyFill="1"/>
    <xf numFmtId="0" fontId="16" fillId="0" borderId="0" xfId="0" applyFont="1" applyFill="1" applyBorder="1"/>
    <xf numFmtId="0" fontId="15" fillId="0" borderId="0" xfId="0" applyFont="1" applyFill="1" applyBorder="1"/>
    <xf numFmtId="0" fontId="23" fillId="0" borderId="0" xfId="0" applyFont="1" applyFill="1"/>
    <xf numFmtId="0" fontId="24" fillId="0" borderId="0" xfId="0" applyFont="1" applyFill="1"/>
    <xf numFmtId="0" fontId="24" fillId="0" borderId="0" xfId="0" applyFont="1" applyFill="1" applyBorder="1"/>
    <xf numFmtId="0" fontId="24" fillId="0" borderId="16" xfId="0" applyFont="1" applyFill="1" applyBorder="1"/>
    <xf numFmtId="0" fontId="24" fillId="0" borderId="17" xfId="0" applyFont="1" applyFill="1" applyBorder="1"/>
    <xf numFmtId="0" fontId="24" fillId="10" borderId="17" xfId="0" applyFont="1" applyFill="1" applyBorder="1"/>
    <xf numFmtId="0" fontId="24" fillId="12" borderId="17" xfId="0" applyFont="1" applyFill="1" applyBorder="1"/>
    <xf numFmtId="0" fontId="24" fillId="4" borderId="17" xfId="0" applyFont="1" applyFill="1" applyBorder="1"/>
    <xf numFmtId="0" fontId="24" fillId="11" borderId="17" xfId="0" applyFont="1" applyFill="1" applyBorder="1"/>
    <xf numFmtId="0" fontId="24" fillId="0" borderId="18" xfId="0" applyFont="1" applyFill="1" applyBorder="1"/>
    <xf numFmtId="0" fontId="24" fillId="0" borderId="19" xfId="0" applyFont="1" applyFill="1" applyBorder="1"/>
    <xf numFmtId="0" fontId="24" fillId="0" borderId="20" xfId="0" applyFont="1" applyFill="1" applyBorder="1"/>
    <xf numFmtId="0" fontId="16" fillId="0" borderId="0" xfId="0" applyFont="1"/>
    <xf numFmtId="0" fontId="25" fillId="0" borderId="0" xfId="0" applyFont="1" applyFill="1"/>
    <xf numFmtId="0" fontId="5" fillId="8" borderId="0" xfId="0" applyFont="1" applyFill="1" applyBorder="1"/>
    <xf numFmtId="0" fontId="7" fillId="8" borderId="22" xfId="0" applyFont="1" applyFill="1" applyBorder="1"/>
    <xf numFmtId="0" fontId="24" fillId="0" borderId="0" xfId="0" applyFont="1" applyFill="1" applyBorder="1" applyAlignment="1">
      <alignment vertical="center"/>
    </xf>
    <xf numFmtId="0" fontId="5" fillId="0" borderId="25" xfId="0" applyFont="1" applyFill="1" applyBorder="1"/>
    <xf numFmtId="0" fontId="7" fillId="0" borderId="24" xfId="0" applyFont="1" applyFill="1" applyBorder="1"/>
    <xf numFmtId="0" fontId="27" fillId="0" borderId="25" xfId="0" applyFont="1" applyFill="1" applyBorder="1"/>
    <xf numFmtId="0" fontId="21" fillId="0" borderId="26" xfId="0" applyFont="1" applyFill="1" applyBorder="1" applyAlignment="1">
      <alignment horizontal="center"/>
    </xf>
    <xf numFmtId="165" fontId="5" fillId="5" borderId="0" xfId="0" applyNumberFormat="1" applyFont="1" applyFill="1" applyBorder="1"/>
    <xf numFmtId="0" fontId="28" fillId="8" borderId="19" xfId="0" applyFont="1" applyFill="1" applyBorder="1"/>
    <xf numFmtId="0" fontId="27" fillId="8" borderId="0" xfId="0" applyFont="1" applyFill="1" applyBorder="1"/>
    <xf numFmtId="8" fontId="29" fillId="8" borderId="20" xfId="0" applyNumberFormat="1" applyFont="1" applyFill="1" applyBorder="1"/>
    <xf numFmtId="0" fontId="30" fillId="8" borderId="19" xfId="0" applyFont="1" applyFill="1" applyBorder="1"/>
    <xf numFmtId="8" fontId="31" fillId="8" borderId="20" xfId="0" applyNumberFormat="1" applyFont="1" applyFill="1" applyBorder="1"/>
    <xf numFmtId="0" fontId="5" fillId="8" borderId="19" xfId="0" applyFont="1" applyFill="1" applyBorder="1"/>
    <xf numFmtId="0" fontId="5" fillId="8" borderId="20" xfId="0" applyFont="1" applyFill="1" applyBorder="1"/>
    <xf numFmtId="165" fontId="7" fillId="8" borderId="23" xfId="0" applyNumberFormat="1" applyFont="1" applyFill="1" applyBorder="1"/>
    <xf numFmtId="165" fontId="7" fillId="0" borderId="0" xfId="0" applyNumberFormat="1" applyFont="1" applyFill="1" applyBorder="1"/>
    <xf numFmtId="164" fontId="5" fillId="5" borderId="0" xfId="0" applyNumberFormat="1" applyFont="1" applyFill="1" applyBorder="1"/>
    <xf numFmtId="10" fontId="5" fillId="0" borderId="0" xfId="0" applyNumberFormat="1" applyFont="1" applyFill="1" applyBorder="1" applyAlignment="1">
      <alignment horizontal="right"/>
    </xf>
    <xf numFmtId="164" fontId="7" fillId="0" borderId="0" xfId="0" applyNumberFormat="1" applyFont="1" applyFill="1" applyBorder="1"/>
    <xf numFmtId="164" fontId="7" fillId="0" borderId="0" xfId="0" applyNumberFormat="1" applyFont="1" applyFill="1" applyBorder="1" applyAlignment="1">
      <alignment horizontal="right"/>
    </xf>
    <xf numFmtId="0" fontId="7" fillId="0" borderId="0" xfId="0" applyFont="1" applyBorder="1"/>
    <xf numFmtId="0" fontId="7" fillId="0" borderId="19" xfId="0" applyFont="1" applyFill="1" applyBorder="1"/>
    <xf numFmtId="0" fontId="5" fillId="10" borderId="0" xfId="0" applyFont="1" applyFill="1" applyBorder="1"/>
    <xf numFmtId="0" fontId="5" fillId="12" borderId="0" xfId="0" applyFont="1" applyFill="1" applyBorder="1"/>
    <xf numFmtId="0" fontId="17" fillId="4" borderId="0" xfId="0" applyFont="1" applyFill="1" applyBorder="1"/>
    <xf numFmtId="0" fontId="5" fillId="4" borderId="0" xfId="0" applyFont="1" applyFill="1" applyBorder="1"/>
    <xf numFmtId="0" fontId="5" fillId="11" borderId="0" xfId="0" applyFont="1" applyFill="1" applyBorder="1"/>
    <xf numFmtId="0" fontId="5" fillId="0" borderId="20" xfId="0" applyFont="1" applyFill="1" applyBorder="1"/>
    <xf numFmtId="0" fontId="7" fillId="11" borderId="0" xfId="0" applyFont="1" applyFill="1" applyBorder="1"/>
    <xf numFmtId="165" fontId="5" fillId="0" borderId="20" xfId="0" applyNumberFormat="1" applyFont="1" applyFill="1" applyBorder="1"/>
    <xf numFmtId="0" fontId="7" fillId="4" borderId="0" xfId="0" applyFont="1" applyFill="1" applyBorder="1"/>
    <xf numFmtId="165" fontId="5" fillId="11" borderId="0" xfId="0" applyNumberFormat="1" applyFont="1" applyFill="1" applyBorder="1"/>
    <xf numFmtId="7" fontId="5" fillId="11" borderId="0" xfId="0" applyNumberFormat="1" applyFont="1" applyFill="1" applyBorder="1"/>
    <xf numFmtId="165" fontId="5" fillId="4" borderId="0" xfId="0" applyNumberFormat="1" applyFont="1" applyFill="1" applyBorder="1"/>
    <xf numFmtId="5" fontId="5" fillId="4" borderId="0" xfId="0" applyNumberFormat="1" applyFont="1" applyFill="1" applyBorder="1"/>
    <xf numFmtId="7" fontId="5" fillId="4" borderId="0" xfId="0" applyNumberFormat="1" applyFont="1" applyFill="1" applyBorder="1"/>
    <xf numFmtId="7" fontId="7" fillId="11" borderId="0" xfId="0" applyNumberFormat="1" applyFont="1" applyFill="1" applyBorder="1"/>
    <xf numFmtId="0" fontId="7" fillId="12" borderId="0" xfId="0" applyFont="1" applyFill="1" applyBorder="1"/>
    <xf numFmtId="165" fontId="5" fillId="12" borderId="0" xfId="0" applyNumberFormat="1" applyFont="1" applyFill="1" applyBorder="1"/>
    <xf numFmtId="5" fontId="5" fillId="12" borderId="0" xfId="0" applyNumberFormat="1" applyFont="1" applyFill="1" applyBorder="1"/>
    <xf numFmtId="0" fontId="7" fillId="10" borderId="0" xfId="0" applyFont="1" applyFill="1" applyBorder="1"/>
    <xf numFmtId="165" fontId="5" fillId="10" borderId="0" xfId="0" applyNumberFormat="1" applyFont="1" applyFill="1" applyBorder="1"/>
    <xf numFmtId="5" fontId="5" fillId="10" borderId="0" xfId="0" applyNumberFormat="1" applyFont="1" applyFill="1" applyBorder="1"/>
    <xf numFmtId="0" fontId="5" fillId="0" borderId="19" xfId="0" applyFont="1" applyFill="1" applyBorder="1" applyProtection="1">
      <protection locked="0"/>
    </xf>
    <xf numFmtId="7" fontId="5" fillId="0" borderId="19" xfId="0" applyNumberFormat="1" applyFont="1" applyFill="1" applyBorder="1"/>
    <xf numFmtId="165" fontId="5" fillId="6" borderId="19" xfId="0" applyNumberFormat="1" applyFont="1" applyFill="1" applyBorder="1"/>
    <xf numFmtId="0" fontId="7" fillId="8" borderId="24" xfId="0" applyFont="1" applyFill="1" applyBorder="1"/>
    <xf numFmtId="0" fontId="7" fillId="8" borderId="25" xfId="0" applyFont="1" applyFill="1" applyBorder="1"/>
    <xf numFmtId="164" fontId="7" fillId="8" borderId="25" xfId="0" applyNumberFormat="1" applyFont="1" applyFill="1" applyBorder="1"/>
    <xf numFmtId="0" fontId="7" fillId="8" borderId="26" xfId="0" applyFont="1" applyFill="1" applyBorder="1"/>
    <xf numFmtId="0" fontId="7" fillId="0" borderId="0" xfId="0" applyFont="1"/>
    <xf numFmtId="10" fontId="7" fillId="0" borderId="0" xfId="0" applyNumberFormat="1" applyFont="1" applyFill="1" applyBorder="1"/>
    <xf numFmtId="165" fontId="7" fillId="0" borderId="0" xfId="0" applyNumberFormat="1" applyFont="1" applyFill="1" applyBorder="1" applyAlignment="1">
      <alignment horizontal="center"/>
    </xf>
    <xf numFmtId="1" fontId="5" fillId="14" borderId="0" xfId="0" applyNumberFormat="1" applyFont="1" applyFill="1" applyBorder="1" applyAlignment="1">
      <alignment horizontal="center"/>
    </xf>
    <xf numFmtId="0" fontId="5" fillId="14" borderId="0" xfId="0" applyFont="1" applyFill="1" applyBorder="1" applyAlignment="1">
      <alignment horizontal="center"/>
    </xf>
    <xf numFmtId="37" fontId="5" fillId="14" borderId="0" xfId="0" applyNumberFormat="1" applyFont="1" applyFill="1" applyBorder="1" applyAlignment="1">
      <alignment horizontal="center"/>
    </xf>
    <xf numFmtId="0" fontId="26" fillId="0" borderId="0" xfId="0" applyFont="1" applyFill="1" applyBorder="1" applyAlignment="1">
      <alignment vertical="center"/>
    </xf>
    <xf numFmtId="0" fontId="7" fillId="0" borderId="16" xfId="0" applyFont="1" applyBorder="1" applyAlignment="1">
      <alignment vertical="center"/>
    </xf>
    <xf numFmtId="165" fontId="14" fillId="7" borderId="15" xfId="6" applyNumberFormat="1" applyFont="1" applyBorder="1" applyAlignment="1">
      <alignment horizontal="center"/>
    </xf>
    <xf numFmtId="0" fontId="14" fillId="7" borderId="15" xfId="6" applyFont="1" applyBorder="1" applyAlignment="1">
      <alignment horizontal="center"/>
    </xf>
    <xf numFmtId="6" fontId="14" fillId="7" borderId="15" xfId="6" applyNumberFormat="1" applyFont="1" applyBorder="1" applyAlignment="1">
      <alignment horizontal="center"/>
    </xf>
    <xf numFmtId="7" fontId="1" fillId="5" borderId="17" xfId="0" applyNumberFormat="1" applyFont="1" applyFill="1" applyBorder="1" applyAlignment="1">
      <alignment horizontal="center"/>
    </xf>
    <xf numFmtId="0" fontId="32" fillId="0" borderId="17" xfId="0" applyFont="1" applyFill="1" applyBorder="1" applyAlignment="1">
      <alignment horizontal="center" vertical="center" wrapText="1"/>
    </xf>
    <xf numFmtId="164" fontId="32" fillId="0" borderId="17" xfId="0" applyNumberFormat="1" applyFont="1" applyFill="1" applyBorder="1" applyAlignment="1">
      <alignment horizontal="center" vertical="center" wrapText="1"/>
    </xf>
    <xf numFmtId="166" fontId="32" fillId="0" borderId="18" xfId="0" applyNumberFormat="1" applyFont="1" applyFill="1" applyBorder="1" applyAlignment="1">
      <alignment horizontal="center" vertical="center" wrapText="1"/>
    </xf>
    <xf numFmtId="0" fontId="32" fillId="0" borderId="0" xfId="0" applyFont="1" applyAlignment="1">
      <alignment horizontal="center"/>
    </xf>
    <xf numFmtId="0" fontId="32" fillId="0" borderId="0" xfId="0" applyFont="1" applyFill="1" applyBorder="1" applyAlignment="1">
      <alignment horizontal="center"/>
    </xf>
    <xf numFmtId="7" fontId="1" fillId="5" borderId="0" xfId="0" applyNumberFormat="1" applyFont="1" applyFill="1" applyBorder="1" applyAlignment="1">
      <alignment horizontal="center"/>
    </xf>
    <xf numFmtId="7" fontId="5" fillId="13" borderId="17" xfId="0" applyNumberFormat="1" applyFont="1" applyFill="1" applyBorder="1"/>
    <xf numFmtId="7" fontId="5" fillId="13" borderId="20" xfId="0" applyNumberFormat="1" applyFont="1" applyFill="1" applyBorder="1"/>
    <xf numFmtId="0" fontId="5" fillId="0" borderId="20" xfId="0" applyFont="1" applyFill="1" applyBorder="1" applyAlignment="1">
      <alignment horizontal="center"/>
    </xf>
    <xf numFmtId="0" fontId="7" fillId="0" borderId="16" xfId="0" applyFont="1" applyFill="1" applyBorder="1" applyAlignment="1">
      <alignment horizontal="center" vertical="center"/>
    </xf>
    <xf numFmtId="0" fontId="7" fillId="0" borderId="18" xfId="0" applyFont="1" applyFill="1" applyBorder="1" applyAlignment="1">
      <alignment horizontal="center" vertical="center"/>
    </xf>
    <xf numFmtId="0" fontId="5" fillId="8" borderId="22" xfId="0" applyFont="1" applyFill="1" applyBorder="1"/>
    <xf numFmtId="9" fontId="7" fillId="8" borderId="23" xfId="5" applyFont="1" applyFill="1" applyBorder="1"/>
    <xf numFmtId="0" fontId="33" fillId="0" borderId="0" xfId="0" applyFont="1" applyFill="1" applyBorder="1" applyAlignment="1">
      <alignment horizontal="left"/>
    </xf>
    <xf numFmtId="0" fontId="33" fillId="0" borderId="0" xfId="0" applyFont="1" applyFill="1"/>
    <xf numFmtId="0" fontId="7" fillId="0" borderId="16" xfId="0" applyFont="1" applyBorder="1" applyAlignment="1">
      <alignment horizontal="center"/>
    </xf>
    <xf numFmtId="0" fontId="7" fillId="0" borderId="18" xfId="0" applyFont="1" applyBorder="1" applyAlignment="1">
      <alignment horizontal="center"/>
    </xf>
    <xf numFmtId="0" fontId="5" fillId="0" borderId="19" xfId="0" applyFont="1" applyBorder="1" applyAlignment="1">
      <alignment horizontal="center"/>
    </xf>
    <xf numFmtId="0" fontId="5" fillId="0" borderId="19" xfId="0" applyFont="1" applyFill="1" applyBorder="1" applyAlignment="1">
      <alignment horizontal="center"/>
    </xf>
    <xf numFmtId="0" fontId="5" fillId="0" borderId="21" xfId="0" applyFont="1" applyFill="1" applyBorder="1" applyAlignment="1">
      <alignment horizontal="center"/>
    </xf>
    <xf numFmtId="9" fontId="14" fillId="7" borderId="24" xfId="6" applyNumberFormat="1" applyBorder="1" applyAlignment="1">
      <alignment horizontal="center"/>
    </xf>
    <xf numFmtId="8" fontId="14" fillId="7" borderId="25" xfId="6" applyNumberFormat="1" applyBorder="1" applyAlignment="1">
      <alignment horizontal="center"/>
    </xf>
    <xf numFmtId="8" fontId="14" fillId="7" borderId="26" xfId="6" applyNumberFormat="1" applyBorder="1" applyAlignment="1">
      <alignment horizontal="center"/>
    </xf>
    <xf numFmtId="0" fontId="7" fillId="0" borderId="0" xfId="0" applyFont="1" applyBorder="1" applyAlignment="1">
      <alignment horizontal="center"/>
    </xf>
    <xf numFmtId="0" fontId="5" fillId="0" borderId="19" xfId="0" applyFont="1" applyFill="1" applyBorder="1" applyAlignment="1">
      <alignment vertical="center"/>
    </xf>
    <xf numFmtId="9" fontId="5" fillId="5" borderId="0" xfId="0" applyNumberFormat="1" applyFont="1" applyFill="1" applyBorder="1" applyAlignment="1">
      <alignment horizontal="center"/>
    </xf>
    <xf numFmtId="10" fontId="14" fillId="7" borderId="15" xfId="6" applyNumberFormat="1" applyFont="1" applyBorder="1" applyAlignment="1">
      <alignment horizontal="center"/>
    </xf>
    <xf numFmtId="166" fontId="33" fillId="0" borderId="0" xfId="0" applyNumberFormat="1" applyFont="1"/>
    <xf numFmtId="166" fontId="5" fillId="5" borderId="7" xfId="5" applyNumberFormat="1" applyFont="1" applyFill="1" applyBorder="1" applyAlignment="1">
      <alignment horizontal="center"/>
    </xf>
    <xf numFmtId="8" fontId="5" fillId="0" borderId="7" xfId="5" applyNumberFormat="1" applyFont="1" applyFill="1" applyBorder="1" applyAlignment="1">
      <alignment horizontal="center"/>
    </xf>
    <xf numFmtId="165" fontId="5" fillId="9" borderId="7" xfId="0" applyNumberFormat="1" applyFont="1" applyFill="1" applyBorder="1" applyAlignment="1">
      <alignment horizontal="center"/>
    </xf>
    <xf numFmtId="4" fontId="7" fillId="5" borderId="22" xfId="0" applyNumberFormat="1" applyFont="1" applyFill="1" applyBorder="1" applyAlignment="1">
      <alignment horizontal="center"/>
    </xf>
    <xf numFmtId="4" fontId="3" fillId="13" borderId="22" xfId="0" applyNumberFormat="1" applyFont="1" applyFill="1" applyBorder="1" applyAlignment="1">
      <alignment horizontal="center"/>
    </xf>
    <xf numFmtId="4" fontId="14" fillId="7" borderId="15" xfId="6" applyNumberFormat="1" applyFont="1" applyBorder="1" applyAlignment="1">
      <alignment horizontal="center"/>
    </xf>
    <xf numFmtId="166" fontId="5" fillId="0" borderId="0" xfId="0" applyNumberFormat="1" applyFont="1" applyBorder="1"/>
    <xf numFmtId="8" fontId="7" fillId="15" borderId="18" xfId="0" applyNumberFormat="1" applyFont="1" applyFill="1" applyBorder="1" applyAlignment="1">
      <alignment horizontal="center"/>
    </xf>
    <xf numFmtId="8" fontId="7" fillId="15" borderId="20" xfId="0" applyNumberFormat="1" applyFont="1" applyFill="1" applyBorder="1" applyAlignment="1">
      <alignment horizontal="center"/>
    </xf>
    <xf numFmtId="9" fontId="7" fillId="15" borderId="23" xfId="0" applyNumberFormat="1" applyFont="1" applyFill="1" applyBorder="1" applyAlignment="1">
      <alignment horizontal="center"/>
    </xf>
    <xf numFmtId="8" fontId="5" fillId="6" borderId="17" xfId="2" applyNumberFormat="1" applyFont="1" applyFill="1" applyBorder="1" applyAlignment="1"/>
    <xf numFmtId="166" fontId="33" fillId="0" borderId="0" xfId="0" applyNumberFormat="1" applyFont="1" applyBorder="1" applyAlignment="1">
      <alignment horizontal="left"/>
    </xf>
    <xf numFmtId="0" fontId="34" fillId="0" borderId="0" xfId="0" applyFont="1" applyFill="1" applyBorder="1" applyAlignment="1">
      <alignment vertical="center"/>
    </xf>
    <xf numFmtId="7" fontId="0" fillId="0" borderId="0" xfId="0" applyNumberFormat="1"/>
    <xf numFmtId="2" fontId="5" fillId="0" borderId="0" xfId="0" applyNumberFormat="1" applyFont="1" applyBorder="1"/>
    <xf numFmtId="164" fontId="5" fillId="8" borderId="0" xfId="0" applyNumberFormat="1" applyFont="1" applyFill="1" applyBorder="1"/>
    <xf numFmtId="0" fontId="5" fillId="0" borderId="0" xfId="3" applyFont="1" applyAlignment="1">
      <alignment wrapText="1"/>
    </xf>
    <xf numFmtId="9" fontId="5" fillId="0" borderId="22" xfId="0" applyNumberFormat="1" applyFont="1" applyFill="1" applyBorder="1" applyAlignment="1">
      <alignment horizontal="center"/>
    </xf>
    <xf numFmtId="0" fontId="39" fillId="0" borderId="0" xfId="0" applyFont="1" applyFill="1" applyAlignment="1">
      <alignment horizontal="center"/>
    </xf>
    <xf numFmtId="0" fontId="26" fillId="11" borderId="0" xfId="0" applyFont="1" applyFill="1" applyBorder="1" applyAlignment="1">
      <alignment horizontal="center" vertical="center"/>
    </xf>
    <xf numFmtId="0" fontId="7" fillId="11" borderId="0" xfId="0" applyFont="1" applyFill="1" applyAlignment="1">
      <alignment horizontal="center" vertical="center"/>
    </xf>
    <xf numFmtId="0" fontId="7" fillId="10"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4" borderId="0" xfId="0" applyFont="1" applyFill="1" applyBorder="1" applyAlignment="1">
      <alignment horizontal="center" vertical="center"/>
    </xf>
    <xf numFmtId="0" fontId="26" fillId="12" borderId="0" xfId="0" applyFont="1" applyFill="1" applyBorder="1" applyAlignment="1">
      <alignment horizontal="center" vertical="center"/>
    </xf>
    <xf numFmtId="0" fontId="26" fillId="4" borderId="0" xfId="0" applyFont="1" applyFill="1" applyBorder="1" applyAlignment="1">
      <alignment horizontal="center" vertical="center"/>
    </xf>
    <xf numFmtId="0" fontId="26" fillId="10" borderId="0" xfId="0" applyFont="1" applyFill="1" applyBorder="1" applyAlignment="1">
      <alignment horizontal="center" vertical="center"/>
    </xf>
    <xf numFmtId="0" fontId="7" fillId="0" borderId="17" xfId="0" applyFont="1" applyFill="1" applyBorder="1" applyAlignment="1">
      <alignment horizontal="center" vertical="center"/>
    </xf>
  </cellXfs>
  <cellStyles count="7">
    <cellStyle name="Calculation" xfId="6" builtinId="22"/>
    <cellStyle name="Comma" xfId="1" builtinId="3"/>
    <cellStyle name="Currency" xfId="2" builtinId="4"/>
    <cellStyle name="Hyperlink" xfId="4" builtinId="8"/>
    <cellStyle name="Normal" xfId="0" builtinId="0"/>
    <cellStyle name="Normal_Reliability" xfId="3"/>
    <cellStyle name="Percent" xfId="5" builtinId="5"/>
  </cellStyles>
  <dxfs count="22">
    <dxf>
      <font>
        <b val="0"/>
        <i val="0"/>
        <color theme="1"/>
      </font>
    </dxf>
    <dxf>
      <font>
        <color rgb="FF00FF00"/>
      </font>
    </dxf>
    <dxf>
      <font>
        <b val="0"/>
        <i val="0"/>
        <color theme="1"/>
      </font>
    </dxf>
    <dxf>
      <font>
        <color rgb="FFFFFF00"/>
      </font>
    </dxf>
    <dxf>
      <font>
        <condense val="0"/>
        <extend val="0"/>
        <color indexed="9"/>
      </font>
      <fill>
        <patternFill>
          <bgColor indexed="9"/>
        </patternFill>
      </fill>
      <border>
        <left/>
        <right/>
        <top/>
        <bottom/>
      </border>
    </dxf>
    <dxf>
      <font>
        <condense val="0"/>
        <extend val="0"/>
        <color indexed="9"/>
      </font>
      <fill>
        <patternFill>
          <bgColor indexed="9"/>
        </patternFill>
      </fill>
      <border>
        <left style="thin">
          <color indexed="64"/>
        </left>
        <right/>
        <top/>
        <bottom/>
      </border>
    </dxf>
    <dxf>
      <font>
        <condense val="0"/>
        <extend val="0"/>
        <color indexed="49"/>
      </font>
      <fill>
        <patternFill>
          <bgColor indexed="49"/>
        </patternFill>
      </fill>
      <border>
        <left/>
        <right/>
        <top/>
        <bottom/>
      </border>
    </dxf>
    <dxf>
      <font>
        <condense val="0"/>
        <extend val="0"/>
        <color indexed="49"/>
      </font>
      <fill>
        <patternFill>
          <bgColor indexed="49"/>
        </patternFill>
      </fill>
      <border>
        <left style="thin">
          <color indexed="64"/>
        </left>
        <right/>
        <top/>
        <bottom/>
      </border>
    </dxf>
    <dxf>
      <fill>
        <patternFill>
          <bgColor theme="6" tint="0.39994506668294322"/>
        </patternFill>
      </fill>
    </dxf>
    <dxf>
      <fill>
        <patternFill>
          <bgColor indexed="30"/>
        </patternFill>
      </fill>
    </dxf>
    <dxf>
      <fill>
        <patternFill>
          <bgColor indexed="30"/>
        </patternFill>
      </fill>
    </dxf>
    <dxf>
      <fill>
        <patternFill>
          <bgColor indexed="30"/>
        </patternFill>
      </fill>
    </dxf>
    <dxf>
      <font>
        <b/>
        <i val="0"/>
        <color theme="0"/>
      </font>
      <fill>
        <patternFill>
          <bgColor rgb="FFFC7C7C"/>
        </patternFill>
      </fill>
    </dxf>
    <dxf>
      <fill>
        <patternFill>
          <bgColor indexed="30"/>
        </patternFill>
      </fill>
    </dxf>
    <dxf>
      <fill>
        <patternFill>
          <bgColor indexed="30"/>
        </patternFill>
      </fill>
    </dxf>
    <dxf>
      <fill>
        <patternFill>
          <bgColor indexed="30"/>
        </patternFill>
      </fill>
    </dxf>
    <dxf>
      <fill>
        <patternFill>
          <bgColor indexed="30"/>
        </patternFill>
      </fill>
    </dxf>
    <dxf>
      <font>
        <condense val="0"/>
        <extend val="0"/>
        <color indexed="9"/>
      </font>
      <fill>
        <patternFill>
          <bgColor indexed="9"/>
        </patternFill>
      </fill>
    </dxf>
    <dxf>
      <font>
        <condense val="0"/>
        <extend val="0"/>
        <color indexed="9"/>
      </font>
      <fill>
        <patternFill>
          <bgColor indexed="9"/>
        </patternFill>
      </fill>
    </dxf>
    <dxf>
      <fill>
        <patternFill>
          <bgColor indexed="30"/>
        </patternFill>
      </fill>
    </dxf>
    <dxf>
      <fill>
        <patternFill>
          <bgColor indexed="30"/>
        </patternFill>
      </fill>
    </dxf>
    <dxf>
      <fill>
        <patternFill>
          <bgColor indexed="30"/>
        </patternFill>
      </fill>
    </dxf>
  </dxfs>
  <tableStyles count="0" defaultTableStyle="TableStyleMedium9" defaultPivotStyle="PivotStyleLight16"/>
  <colors>
    <mruColors>
      <color rgb="FF00FF00"/>
      <color rgb="FF00D600"/>
      <color rgb="FF33CC33"/>
      <color rgb="FFFC7C7C"/>
      <color rgb="FFFF5050"/>
      <color rgb="FFCC0000"/>
      <color rgb="FFB8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G$7" lockText="1" noThreeD="1"/>
</file>

<file path=xl/ctrlProps/ctrlProp2.xml><?xml version="1.0" encoding="utf-8"?>
<formControlPr xmlns="http://schemas.microsoft.com/office/spreadsheetml/2009/9/main" objectType="Radio" checked="Checked" lockText="1" noThreeD="1"/>
</file>

<file path=xl/drawings/drawing1.xml><?xml version="1.0" encoding="utf-8"?>
<xdr:wsDr xmlns:xdr="http://schemas.openxmlformats.org/drawingml/2006/spreadsheetDrawing" xmlns:a="http://schemas.openxmlformats.org/drawingml/2006/main">
  <xdr:twoCellAnchor editAs="oneCell">
    <xdr:from>
      <xdr:col>6</xdr:col>
      <xdr:colOff>0</xdr:colOff>
      <xdr:row>16</xdr:row>
      <xdr:rowOff>0</xdr:rowOff>
    </xdr:from>
    <xdr:to>
      <xdr:col>6</xdr:col>
      <xdr:colOff>152400</xdr:colOff>
      <xdr:row>17</xdr:row>
      <xdr:rowOff>0</xdr:rowOff>
    </xdr:to>
    <xdr:sp macro="" textlink="">
      <xdr:nvSpPr>
        <xdr:cNvPr id="2" name="Oval 1" descr="53bd20b0-5999-4576-adf2-3326dc5febc2"/>
        <xdr:cNvSpPr>
          <a:spLocks noChangeArrowheads="1"/>
        </xdr:cNvSpPr>
      </xdr:nvSpPr>
      <xdr:spPr bwMode="auto">
        <a:xfrm>
          <a:off x="3533775" y="3352800"/>
          <a:ext cx="152400" cy="152400"/>
        </a:xfrm>
        <a:prstGeom prst="ellipse">
          <a:avLst/>
        </a:prstGeom>
        <a:solidFill>
          <a:srgbClr val="000000"/>
        </a:solidFill>
        <a:ln w="9525">
          <a:solidFill>
            <a:srgbClr val="000000"/>
          </a:solidFill>
          <a:round/>
          <a:headEnd/>
          <a:tailEnd/>
        </a:ln>
      </xdr:spPr>
    </xdr:sp>
    <xdr:clientData/>
  </xdr:twoCellAnchor>
  <xdr:twoCellAnchor>
    <xdr:from>
      <xdr:col>4</xdr:col>
      <xdr:colOff>0</xdr:colOff>
      <xdr:row>16</xdr:row>
      <xdr:rowOff>76200</xdr:rowOff>
    </xdr:from>
    <xdr:to>
      <xdr:col>6</xdr:col>
      <xdr:colOff>0</xdr:colOff>
      <xdr:row>16</xdr:row>
      <xdr:rowOff>76200</xdr:rowOff>
    </xdr:to>
    <xdr:sp macro="" textlink="">
      <xdr:nvSpPr>
        <xdr:cNvPr id="3" name="Line 2"/>
        <xdr:cNvSpPr>
          <a:spLocks noChangeShapeType="1"/>
        </xdr:cNvSpPr>
      </xdr:nvSpPr>
      <xdr:spPr bwMode="auto">
        <a:xfrm>
          <a:off x="1847850" y="3429000"/>
          <a:ext cx="1685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26</xdr:row>
      <xdr:rowOff>0</xdr:rowOff>
    </xdr:from>
    <xdr:to>
      <xdr:col>6</xdr:col>
      <xdr:colOff>0</xdr:colOff>
      <xdr:row>26</xdr:row>
      <xdr:rowOff>152400</xdr:rowOff>
    </xdr:to>
    <xdr:sp macro="" textlink="">
      <xdr:nvSpPr>
        <xdr:cNvPr id="4" name="Line 4"/>
        <xdr:cNvSpPr>
          <a:spLocks noChangeShapeType="1"/>
        </xdr:cNvSpPr>
      </xdr:nvSpPr>
      <xdr:spPr bwMode="auto">
        <a:xfrm>
          <a:off x="3533775" y="525780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9525</xdr:colOff>
      <xdr:row>26</xdr:row>
      <xdr:rowOff>76200</xdr:rowOff>
    </xdr:from>
    <xdr:to>
      <xdr:col>18</xdr:col>
      <xdr:colOff>9525</xdr:colOff>
      <xdr:row>26</xdr:row>
      <xdr:rowOff>76200</xdr:rowOff>
    </xdr:to>
    <xdr:sp macro="" textlink="">
      <xdr:nvSpPr>
        <xdr:cNvPr id="5" name="Line 5"/>
        <xdr:cNvSpPr>
          <a:spLocks noChangeShapeType="1"/>
        </xdr:cNvSpPr>
      </xdr:nvSpPr>
      <xdr:spPr bwMode="auto">
        <a:xfrm>
          <a:off x="3781425" y="5334000"/>
          <a:ext cx="7143750" cy="0"/>
        </a:xfrm>
        <a:prstGeom prst="line">
          <a:avLst/>
        </a:prstGeom>
        <a:noFill/>
        <a:ln w="1">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26</xdr:row>
      <xdr:rowOff>76200</xdr:rowOff>
    </xdr:from>
    <xdr:to>
      <xdr:col>6</xdr:col>
      <xdr:colOff>0</xdr:colOff>
      <xdr:row>26</xdr:row>
      <xdr:rowOff>76200</xdr:rowOff>
    </xdr:to>
    <xdr:sp macro="" textlink="">
      <xdr:nvSpPr>
        <xdr:cNvPr id="6" name="Line 6"/>
        <xdr:cNvSpPr>
          <a:spLocks noChangeShapeType="1"/>
        </xdr:cNvSpPr>
      </xdr:nvSpPr>
      <xdr:spPr bwMode="auto">
        <a:xfrm>
          <a:off x="1847850" y="5334000"/>
          <a:ext cx="1685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9525</xdr:colOff>
      <xdr:row>12</xdr:row>
      <xdr:rowOff>0</xdr:rowOff>
    </xdr:from>
    <xdr:to>
      <xdr:col>10</xdr:col>
      <xdr:colOff>161925</xdr:colOff>
      <xdr:row>12</xdr:row>
      <xdr:rowOff>152400</xdr:rowOff>
    </xdr:to>
    <xdr:sp macro="" textlink="">
      <xdr:nvSpPr>
        <xdr:cNvPr id="7" name="Oval 8" descr="6e267c79-b28c-4dc4-8667-af734f7e2385"/>
        <xdr:cNvSpPr>
          <a:spLocks noChangeArrowheads="1"/>
        </xdr:cNvSpPr>
      </xdr:nvSpPr>
      <xdr:spPr bwMode="auto">
        <a:xfrm>
          <a:off x="6057900" y="2590800"/>
          <a:ext cx="152400" cy="152400"/>
        </a:xfrm>
        <a:prstGeom prst="ellipse">
          <a:avLst/>
        </a:prstGeom>
        <a:solidFill>
          <a:srgbClr val="000000"/>
        </a:solidFill>
        <a:ln w="9525">
          <a:solidFill>
            <a:srgbClr val="000000"/>
          </a:solidFill>
          <a:round/>
          <a:headEnd/>
          <a:tailEnd/>
        </a:ln>
      </xdr:spPr>
    </xdr:sp>
    <xdr:clientData/>
  </xdr:twoCellAnchor>
  <xdr:twoCellAnchor>
    <xdr:from>
      <xdr:col>8</xdr:col>
      <xdr:colOff>9525</xdr:colOff>
      <xdr:row>12</xdr:row>
      <xdr:rowOff>76200</xdr:rowOff>
    </xdr:from>
    <xdr:to>
      <xdr:col>10</xdr:col>
      <xdr:colOff>9525</xdr:colOff>
      <xdr:row>12</xdr:row>
      <xdr:rowOff>76200</xdr:rowOff>
    </xdr:to>
    <xdr:sp macro="" textlink="">
      <xdr:nvSpPr>
        <xdr:cNvPr id="8" name="Line 9"/>
        <xdr:cNvSpPr>
          <a:spLocks noChangeShapeType="1"/>
        </xdr:cNvSpPr>
      </xdr:nvSpPr>
      <xdr:spPr bwMode="auto">
        <a:xfrm>
          <a:off x="4019550" y="2667000"/>
          <a:ext cx="2038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9525</xdr:colOff>
      <xdr:row>21</xdr:row>
      <xdr:rowOff>0</xdr:rowOff>
    </xdr:from>
    <xdr:to>
      <xdr:col>10</xdr:col>
      <xdr:colOff>9525</xdr:colOff>
      <xdr:row>21</xdr:row>
      <xdr:rowOff>152400</xdr:rowOff>
    </xdr:to>
    <xdr:sp macro="" textlink="">
      <xdr:nvSpPr>
        <xdr:cNvPr id="9" name="Line 11"/>
        <xdr:cNvSpPr>
          <a:spLocks noChangeShapeType="1"/>
        </xdr:cNvSpPr>
      </xdr:nvSpPr>
      <xdr:spPr bwMode="auto">
        <a:xfrm>
          <a:off x="6057900" y="430530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21</xdr:row>
      <xdr:rowOff>76200</xdr:rowOff>
    </xdr:from>
    <xdr:to>
      <xdr:col>18</xdr:col>
      <xdr:colOff>9525</xdr:colOff>
      <xdr:row>21</xdr:row>
      <xdr:rowOff>76200</xdr:rowOff>
    </xdr:to>
    <xdr:sp macro="" textlink="">
      <xdr:nvSpPr>
        <xdr:cNvPr id="10" name="Line 12"/>
        <xdr:cNvSpPr>
          <a:spLocks noChangeShapeType="1"/>
        </xdr:cNvSpPr>
      </xdr:nvSpPr>
      <xdr:spPr bwMode="auto">
        <a:xfrm>
          <a:off x="6286500" y="4381500"/>
          <a:ext cx="4638675" cy="0"/>
        </a:xfrm>
        <a:prstGeom prst="line">
          <a:avLst/>
        </a:prstGeom>
        <a:noFill/>
        <a:ln w="1">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9525</xdr:colOff>
      <xdr:row>21</xdr:row>
      <xdr:rowOff>76200</xdr:rowOff>
    </xdr:from>
    <xdr:to>
      <xdr:col>10</xdr:col>
      <xdr:colOff>9525</xdr:colOff>
      <xdr:row>21</xdr:row>
      <xdr:rowOff>76200</xdr:rowOff>
    </xdr:to>
    <xdr:sp macro="" textlink="">
      <xdr:nvSpPr>
        <xdr:cNvPr id="11" name="Line 13"/>
        <xdr:cNvSpPr>
          <a:spLocks noChangeShapeType="1"/>
        </xdr:cNvSpPr>
      </xdr:nvSpPr>
      <xdr:spPr bwMode="auto">
        <a:xfrm>
          <a:off x="4019550" y="4381500"/>
          <a:ext cx="2038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14</xdr:col>
      <xdr:colOff>0</xdr:colOff>
      <xdr:row>8</xdr:row>
      <xdr:rowOff>0</xdr:rowOff>
    </xdr:from>
    <xdr:to>
      <xdr:col>14</xdr:col>
      <xdr:colOff>152400</xdr:colOff>
      <xdr:row>9</xdr:row>
      <xdr:rowOff>0</xdr:rowOff>
    </xdr:to>
    <xdr:sp macro="" textlink="">
      <xdr:nvSpPr>
        <xdr:cNvPr id="12" name="Rectangle 15" descr="311b87f5-d958-4b83-ab60-5c4d14df4f15"/>
        <xdr:cNvSpPr>
          <a:spLocks noChangeArrowheads="1"/>
        </xdr:cNvSpPr>
      </xdr:nvSpPr>
      <xdr:spPr bwMode="auto">
        <a:xfrm>
          <a:off x="8153400" y="1828800"/>
          <a:ext cx="152400" cy="152400"/>
        </a:xfrm>
        <a:prstGeom prst="rect">
          <a:avLst/>
        </a:prstGeom>
        <a:solidFill>
          <a:srgbClr val="000000"/>
        </a:solidFill>
        <a:ln w="9525">
          <a:solidFill>
            <a:srgbClr val="000000"/>
          </a:solidFill>
          <a:miter lim="800000"/>
          <a:headEnd/>
          <a:tailEnd/>
        </a:ln>
      </xdr:spPr>
    </xdr:sp>
    <xdr:clientData/>
  </xdr:twoCellAnchor>
  <xdr:twoCellAnchor>
    <xdr:from>
      <xdr:col>12</xdr:col>
      <xdr:colOff>0</xdr:colOff>
      <xdr:row>8</xdr:row>
      <xdr:rowOff>76200</xdr:rowOff>
    </xdr:from>
    <xdr:to>
      <xdr:col>14</xdr:col>
      <xdr:colOff>0</xdr:colOff>
      <xdr:row>8</xdr:row>
      <xdr:rowOff>76200</xdr:rowOff>
    </xdr:to>
    <xdr:sp macro="" textlink="">
      <xdr:nvSpPr>
        <xdr:cNvPr id="13" name="Line 16"/>
        <xdr:cNvSpPr>
          <a:spLocks noChangeShapeType="1"/>
        </xdr:cNvSpPr>
      </xdr:nvSpPr>
      <xdr:spPr bwMode="auto">
        <a:xfrm>
          <a:off x="6534150" y="1905000"/>
          <a:ext cx="1619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0</xdr:colOff>
      <xdr:row>16</xdr:row>
      <xdr:rowOff>0</xdr:rowOff>
    </xdr:from>
    <xdr:to>
      <xdr:col>14</xdr:col>
      <xdr:colOff>0</xdr:colOff>
      <xdr:row>16</xdr:row>
      <xdr:rowOff>152400</xdr:rowOff>
    </xdr:to>
    <xdr:sp macro="" textlink="">
      <xdr:nvSpPr>
        <xdr:cNvPr id="14" name="Line 18"/>
        <xdr:cNvSpPr>
          <a:spLocks noChangeShapeType="1"/>
        </xdr:cNvSpPr>
      </xdr:nvSpPr>
      <xdr:spPr bwMode="auto">
        <a:xfrm>
          <a:off x="8153400" y="335280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16</xdr:row>
      <xdr:rowOff>76200</xdr:rowOff>
    </xdr:from>
    <xdr:to>
      <xdr:col>18</xdr:col>
      <xdr:colOff>9525</xdr:colOff>
      <xdr:row>16</xdr:row>
      <xdr:rowOff>76200</xdr:rowOff>
    </xdr:to>
    <xdr:sp macro="" textlink="">
      <xdr:nvSpPr>
        <xdr:cNvPr id="15" name="Line 19"/>
        <xdr:cNvSpPr>
          <a:spLocks noChangeShapeType="1"/>
        </xdr:cNvSpPr>
      </xdr:nvSpPr>
      <xdr:spPr bwMode="auto">
        <a:xfrm>
          <a:off x="8505825" y="3429000"/>
          <a:ext cx="2419350" cy="0"/>
        </a:xfrm>
        <a:prstGeom prst="line">
          <a:avLst/>
        </a:prstGeom>
        <a:noFill/>
        <a:ln w="1">
          <a:solidFill>
            <a:srgbClr val="000000"/>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12</xdr:col>
      <xdr:colOff>0</xdr:colOff>
      <xdr:row>16</xdr:row>
      <xdr:rowOff>76200</xdr:rowOff>
    </xdr:from>
    <xdr:to>
      <xdr:col>14</xdr:col>
      <xdr:colOff>0</xdr:colOff>
      <xdr:row>16</xdr:row>
      <xdr:rowOff>76200</xdr:rowOff>
    </xdr:to>
    <xdr:sp macro="" textlink="">
      <xdr:nvSpPr>
        <xdr:cNvPr id="16" name="Line 20"/>
        <xdr:cNvSpPr>
          <a:spLocks noChangeShapeType="1"/>
        </xdr:cNvSpPr>
      </xdr:nvSpPr>
      <xdr:spPr bwMode="auto">
        <a:xfrm>
          <a:off x="6534150" y="3429000"/>
          <a:ext cx="1619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xdr:colOff>
      <xdr:row>6</xdr:row>
      <xdr:rowOff>0</xdr:rowOff>
    </xdr:from>
    <xdr:to>
      <xdr:col>18</xdr:col>
      <xdr:colOff>9525</xdr:colOff>
      <xdr:row>6</xdr:row>
      <xdr:rowOff>152400</xdr:rowOff>
    </xdr:to>
    <xdr:sp macro="" textlink="">
      <xdr:nvSpPr>
        <xdr:cNvPr id="17" name="Line 22"/>
        <xdr:cNvSpPr>
          <a:spLocks noChangeShapeType="1"/>
        </xdr:cNvSpPr>
      </xdr:nvSpPr>
      <xdr:spPr bwMode="auto">
        <a:xfrm>
          <a:off x="10925175" y="144780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9525</xdr:colOff>
      <xdr:row>6</xdr:row>
      <xdr:rowOff>76200</xdr:rowOff>
    </xdr:from>
    <xdr:to>
      <xdr:col>18</xdr:col>
      <xdr:colOff>9525</xdr:colOff>
      <xdr:row>6</xdr:row>
      <xdr:rowOff>76200</xdr:rowOff>
    </xdr:to>
    <xdr:sp macro="" textlink="">
      <xdr:nvSpPr>
        <xdr:cNvPr id="18" name="Line 23"/>
        <xdr:cNvSpPr>
          <a:spLocks noChangeShapeType="1"/>
        </xdr:cNvSpPr>
      </xdr:nvSpPr>
      <xdr:spPr bwMode="auto">
        <a:xfrm>
          <a:off x="8753475" y="1524000"/>
          <a:ext cx="2171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xdr:colOff>
      <xdr:row>11</xdr:row>
      <xdr:rowOff>0</xdr:rowOff>
    </xdr:from>
    <xdr:to>
      <xdr:col>18</xdr:col>
      <xdr:colOff>9525</xdr:colOff>
      <xdr:row>11</xdr:row>
      <xdr:rowOff>152400</xdr:rowOff>
    </xdr:to>
    <xdr:sp macro="" textlink="">
      <xdr:nvSpPr>
        <xdr:cNvPr id="19" name="Line 25"/>
        <xdr:cNvSpPr>
          <a:spLocks noChangeShapeType="1"/>
        </xdr:cNvSpPr>
      </xdr:nvSpPr>
      <xdr:spPr bwMode="auto">
        <a:xfrm>
          <a:off x="10925175" y="240030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9525</xdr:colOff>
      <xdr:row>11</xdr:row>
      <xdr:rowOff>76200</xdr:rowOff>
    </xdr:from>
    <xdr:to>
      <xdr:col>18</xdr:col>
      <xdr:colOff>9525</xdr:colOff>
      <xdr:row>11</xdr:row>
      <xdr:rowOff>76200</xdr:rowOff>
    </xdr:to>
    <xdr:sp macro="" textlink="">
      <xdr:nvSpPr>
        <xdr:cNvPr id="20" name="Line 26"/>
        <xdr:cNvSpPr>
          <a:spLocks noChangeShapeType="1"/>
        </xdr:cNvSpPr>
      </xdr:nvSpPr>
      <xdr:spPr bwMode="auto">
        <a:xfrm>
          <a:off x="8753475" y="2476500"/>
          <a:ext cx="2171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0</xdr:colOff>
      <xdr:row>21</xdr:row>
      <xdr:rowOff>0</xdr:rowOff>
    </xdr:from>
    <xdr:to>
      <xdr:col>2</xdr:col>
      <xdr:colOff>152400</xdr:colOff>
      <xdr:row>21</xdr:row>
      <xdr:rowOff>152400</xdr:rowOff>
    </xdr:to>
    <xdr:sp macro="" textlink="">
      <xdr:nvSpPr>
        <xdr:cNvPr id="21" name="Oval 28" descr="478b8751-ccb1-420b-aaee-4511eb80c833"/>
        <xdr:cNvSpPr>
          <a:spLocks noChangeArrowheads="1"/>
        </xdr:cNvSpPr>
      </xdr:nvSpPr>
      <xdr:spPr bwMode="auto">
        <a:xfrm>
          <a:off x="1362075" y="4305300"/>
          <a:ext cx="152400" cy="152400"/>
        </a:xfrm>
        <a:prstGeom prst="ellipse">
          <a:avLst/>
        </a:prstGeom>
        <a:solidFill>
          <a:srgbClr val="000000"/>
        </a:solidFill>
        <a:ln w="9525">
          <a:solidFill>
            <a:srgbClr val="000000"/>
          </a:solidFill>
          <a:round/>
          <a:headEnd/>
          <a:tailEnd/>
        </a:ln>
      </xdr:spPr>
    </xdr:sp>
    <xdr:clientData/>
  </xdr:twoCellAnchor>
  <xdr:twoCellAnchor>
    <xdr:from>
      <xdr:col>1</xdr:col>
      <xdr:colOff>0</xdr:colOff>
      <xdr:row>21</xdr:row>
      <xdr:rowOff>76200</xdr:rowOff>
    </xdr:from>
    <xdr:to>
      <xdr:col>2</xdr:col>
      <xdr:colOff>0</xdr:colOff>
      <xdr:row>21</xdr:row>
      <xdr:rowOff>76200</xdr:rowOff>
    </xdr:to>
    <xdr:sp macro="" textlink="">
      <xdr:nvSpPr>
        <xdr:cNvPr id="22" name="Line 29"/>
        <xdr:cNvSpPr>
          <a:spLocks noChangeShapeType="1"/>
        </xdr:cNvSpPr>
      </xdr:nvSpPr>
      <xdr:spPr bwMode="auto">
        <a:xfrm>
          <a:off x="200025" y="4381500"/>
          <a:ext cx="1162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16</xdr:row>
      <xdr:rowOff>76200</xdr:rowOff>
    </xdr:from>
    <xdr:to>
      <xdr:col>4</xdr:col>
      <xdr:colOff>0</xdr:colOff>
      <xdr:row>26</xdr:row>
      <xdr:rowOff>76200</xdr:rowOff>
    </xdr:to>
    <xdr:grpSp>
      <xdr:nvGrpSpPr>
        <xdr:cNvPr id="23" name="Group 45"/>
        <xdr:cNvGrpSpPr>
          <a:grpSpLocks/>
        </xdr:cNvGrpSpPr>
      </xdr:nvGrpSpPr>
      <xdr:grpSpPr bwMode="auto">
        <a:xfrm>
          <a:off x="1609725" y="2790825"/>
          <a:ext cx="638175" cy="1524000"/>
          <a:chOff x="145" y="280"/>
          <a:chExt cx="26" cy="170"/>
        </a:xfrm>
      </xdr:grpSpPr>
      <xdr:sp macro="" textlink="">
        <xdr:nvSpPr>
          <xdr:cNvPr id="24" name="Line 46"/>
          <xdr:cNvSpPr>
            <a:spLocks noChangeShapeType="1"/>
          </xdr:cNvSpPr>
        </xdr:nvSpPr>
        <xdr:spPr bwMode="auto">
          <a:xfrm flipV="1">
            <a:off x="145" y="280"/>
            <a:ext cx="26" cy="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 name="Line 47"/>
          <xdr:cNvSpPr>
            <a:spLocks noChangeShapeType="1"/>
          </xdr:cNvSpPr>
        </xdr:nvSpPr>
        <xdr:spPr bwMode="auto">
          <a:xfrm>
            <a:off x="145" y="365"/>
            <a:ext cx="26" cy="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161925</xdr:colOff>
      <xdr:row>12</xdr:row>
      <xdr:rowOff>76200</xdr:rowOff>
    </xdr:from>
    <xdr:to>
      <xdr:col>8</xdr:col>
      <xdr:colOff>0</xdr:colOff>
      <xdr:row>21</xdr:row>
      <xdr:rowOff>76200</xdr:rowOff>
    </xdr:to>
    <xdr:grpSp>
      <xdr:nvGrpSpPr>
        <xdr:cNvPr id="26" name="Group 48"/>
        <xdr:cNvGrpSpPr>
          <a:grpSpLocks/>
        </xdr:cNvGrpSpPr>
      </xdr:nvGrpSpPr>
      <xdr:grpSpPr bwMode="auto">
        <a:xfrm>
          <a:off x="5038725" y="2181225"/>
          <a:ext cx="352425" cy="1371600"/>
          <a:chOff x="376" y="212"/>
          <a:chExt cx="26" cy="153"/>
        </a:xfrm>
      </xdr:grpSpPr>
      <xdr:sp macro="" textlink="">
        <xdr:nvSpPr>
          <xdr:cNvPr id="27" name="Line 49"/>
          <xdr:cNvSpPr>
            <a:spLocks noChangeShapeType="1"/>
          </xdr:cNvSpPr>
        </xdr:nvSpPr>
        <xdr:spPr bwMode="auto">
          <a:xfrm flipV="1">
            <a:off x="376" y="212"/>
            <a:ext cx="26" cy="6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 name="Line 50"/>
          <xdr:cNvSpPr>
            <a:spLocks noChangeShapeType="1"/>
          </xdr:cNvSpPr>
        </xdr:nvSpPr>
        <xdr:spPr bwMode="auto">
          <a:xfrm>
            <a:off x="376" y="280"/>
            <a:ext cx="26" cy="8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xdr:col>
      <xdr:colOff>161925</xdr:colOff>
      <xdr:row>8</xdr:row>
      <xdr:rowOff>76200</xdr:rowOff>
    </xdr:from>
    <xdr:to>
      <xdr:col>12</xdr:col>
      <xdr:colOff>9525</xdr:colOff>
      <xdr:row>16</xdr:row>
      <xdr:rowOff>76200</xdr:rowOff>
    </xdr:to>
    <xdr:grpSp>
      <xdr:nvGrpSpPr>
        <xdr:cNvPr id="29" name="Group 51"/>
        <xdr:cNvGrpSpPr>
          <a:grpSpLocks/>
        </xdr:cNvGrpSpPr>
      </xdr:nvGrpSpPr>
      <xdr:grpSpPr bwMode="auto">
        <a:xfrm>
          <a:off x="8181975" y="1571625"/>
          <a:ext cx="266700" cy="1219200"/>
          <a:chOff x="614" y="144"/>
          <a:chExt cx="26" cy="136"/>
        </a:xfrm>
      </xdr:grpSpPr>
      <xdr:sp macro="" textlink="">
        <xdr:nvSpPr>
          <xdr:cNvPr id="30" name="Line 52"/>
          <xdr:cNvSpPr>
            <a:spLocks noChangeShapeType="1"/>
          </xdr:cNvSpPr>
        </xdr:nvSpPr>
        <xdr:spPr bwMode="auto">
          <a:xfrm flipV="1">
            <a:off x="614" y="144"/>
            <a:ext cx="26" cy="6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 name="Line 53"/>
          <xdr:cNvSpPr>
            <a:spLocks noChangeShapeType="1"/>
          </xdr:cNvSpPr>
        </xdr:nvSpPr>
        <xdr:spPr bwMode="auto">
          <a:xfrm>
            <a:off x="614" y="212"/>
            <a:ext cx="26" cy="6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xdr:col>
      <xdr:colOff>152400</xdr:colOff>
      <xdr:row>6</xdr:row>
      <xdr:rowOff>76200</xdr:rowOff>
    </xdr:from>
    <xdr:to>
      <xdr:col>16</xdr:col>
      <xdr:colOff>0</xdr:colOff>
      <xdr:row>11</xdr:row>
      <xdr:rowOff>76200</xdr:rowOff>
    </xdr:to>
    <xdr:grpSp>
      <xdr:nvGrpSpPr>
        <xdr:cNvPr id="32" name="Group 54"/>
        <xdr:cNvGrpSpPr>
          <a:grpSpLocks/>
        </xdr:cNvGrpSpPr>
      </xdr:nvGrpSpPr>
      <xdr:grpSpPr bwMode="auto">
        <a:xfrm>
          <a:off x="11058525" y="1266825"/>
          <a:ext cx="361950" cy="762000"/>
          <a:chOff x="852" y="110"/>
          <a:chExt cx="26" cy="85"/>
        </a:xfrm>
      </xdr:grpSpPr>
      <xdr:sp macro="" textlink="">
        <xdr:nvSpPr>
          <xdr:cNvPr id="33" name="Line 55"/>
          <xdr:cNvSpPr>
            <a:spLocks noChangeShapeType="1"/>
          </xdr:cNvSpPr>
        </xdr:nvSpPr>
        <xdr:spPr bwMode="auto">
          <a:xfrm flipV="1">
            <a:off x="852" y="110"/>
            <a:ext cx="26" cy="3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 name="Line 56"/>
          <xdr:cNvSpPr>
            <a:spLocks noChangeShapeType="1"/>
          </xdr:cNvSpPr>
        </xdr:nvSpPr>
        <xdr:spPr bwMode="auto">
          <a:xfrm>
            <a:off x="852" y="144"/>
            <a:ext cx="26" cy="5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657225</xdr:colOff>
          <xdr:row>5</xdr:row>
          <xdr:rowOff>47625</xdr:rowOff>
        </xdr:from>
        <xdr:to>
          <xdr:col>7</xdr:col>
          <xdr:colOff>209550</xdr:colOff>
          <xdr:row>6</xdr:row>
          <xdr:rowOff>19050</xdr:rowOff>
        </xdr:to>
        <xdr:sp macro="" textlink="">
          <xdr:nvSpPr>
            <xdr:cNvPr id="4106" name="Option Button 10" hidden="1">
              <a:extLst>
                <a:ext uri="{63B3BB69-23CF-44E3-9099-C40C66FF867C}">
                  <a14:compatExt spid="_x0000_s4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Optimize decisions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4</xdr:row>
          <xdr:rowOff>9525</xdr:rowOff>
        </xdr:from>
        <xdr:to>
          <xdr:col>7</xdr:col>
          <xdr:colOff>171450</xdr:colOff>
          <xdr:row>5</xdr:row>
          <xdr:rowOff>0</xdr:rowOff>
        </xdr:to>
        <xdr:sp macro="" textlink="">
          <xdr:nvSpPr>
            <xdr:cNvPr id="4105" name="Option Button 9" hidden="1">
              <a:extLst>
                <a:ext uri="{63B3BB69-23CF-44E3-9099-C40C66FF867C}">
                  <a14:compatExt spid="_x0000_s4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Simulate decisions</a:t>
              </a:r>
            </a:p>
          </xdr:txBody>
        </xdr:sp>
        <xdr:clientData/>
      </xdr:twoCellAnchor>
    </mc:Choice>
    <mc:Fallback/>
  </mc:AlternateContent>
  <xdr:twoCellAnchor>
    <xdr:from>
      <xdr:col>5</xdr:col>
      <xdr:colOff>476250</xdr:colOff>
      <xdr:row>3</xdr:row>
      <xdr:rowOff>0</xdr:rowOff>
    </xdr:from>
    <xdr:to>
      <xdr:col>7</xdr:col>
      <xdr:colOff>400050</xdr:colOff>
      <xdr:row>6</xdr:row>
      <xdr:rowOff>66675</xdr:rowOff>
    </xdr:to>
    <xdr:sp macro="" textlink="">
      <xdr:nvSpPr>
        <xdr:cNvPr id="3" name="Rounded Rectangle 2" descr="ceff4dc1-11d9-4b64-9065-4bab780172de"/>
        <xdr:cNvSpPr/>
      </xdr:nvSpPr>
      <xdr:spPr bwMode="auto">
        <a:xfrm>
          <a:off x="5667375" y="685800"/>
          <a:ext cx="1619250" cy="704850"/>
        </a:xfrm>
        <a:prstGeom prst="roundRect">
          <a:avLst/>
        </a:prstGeom>
        <a:noFill/>
        <a:ln w="12700">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ebutz/Local%20Settings/Temporary%20Internet%20Files/OLK2/Workforce%20with%20Queuing%20D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Model"/>
      <sheetName val="Summary"/>
      <sheetName val="Teller 1"/>
      <sheetName val="Teller 2"/>
      <sheetName val="Teller 3"/>
      <sheetName val="Teller 4"/>
      <sheetName val="Teller 5"/>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B1:O46"/>
  <sheetViews>
    <sheetView showGridLines="0" workbookViewId="0"/>
  </sheetViews>
  <sheetFormatPr defaultRowHeight="15" x14ac:dyDescent="0.25"/>
  <cols>
    <col min="1" max="1" width="9.140625" style="28"/>
    <col min="2" max="2" width="78.140625" style="28" customWidth="1"/>
    <col min="3" max="16384" width="9.140625" style="28"/>
  </cols>
  <sheetData>
    <row r="1" spans="2:3" ht="22.5" x14ac:dyDescent="0.3">
      <c r="B1" s="31" t="s">
        <v>148</v>
      </c>
      <c r="C1" s="32"/>
    </row>
    <row r="2" spans="2:3" ht="13.5" customHeight="1" x14ac:dyDescent="0.3">
      <c r="B2" s="31"/>
      <c r="C2" s="32"/>
    </row>
    <row r="3" spans="2:3" ht="30" x14ac:dyDescent="0.25">
      <c r="B3" s="27" t="s">
        <v>159</v>
      </c>
    </row>
    <row r="4" spans="2:3" x14ac:dyDescent="0.25">
      <c r="B4" s="27"/>
    </row>
    <row r="5" spans="2:3" ht="59.25" customHeight="1" x14ac:dyDescent="0.25">
      <c r="B5" s="27" t="s">
        <v>93</v>
      </c>
    </row>
    <row r="6" spans="2:3" x14ac:dyDescent="0.25">
      <c r="B6" s="27"/>
    </row>
    <row r="7" spans="2:3" ht="21" customHeight="1" x14ac:dyDescent="0.25">
      <c r="B7" s="27" t="s">
        <v>94</v>
      </c>
    </row>
    <row r="8" spans="2:3" x14ac:dyDescent="0.25">
      <c r="B8" s="27"/>
    </row>
    <row r="9" spans="2:3" x14ac:dyDescent="0.25">
      <c r="B9" s="27" t="s">
        <v>70</v>
      </c>
    </row>
    <row r="10" spans="2:3" ht="105" x14ac:dyDescent="0.25">
      <c r="B10" s="29" t="s">
        <v>150</v>
      </c>
    </row>
    <row r="11" spans="2:3" x14ac:dyDescent="0.25">
      <c r="B11" s="29"/>
    </row>
    <row r="12" spans="2:3" ht="105" x14ac:dyDescent="0.25">
      <c r="B12" s="29" t="s">
        <v>151</v>
      </c>
    </row>
    <row r="13" spans="2:3" x14ac:dyDescent="0.25">
      <c r="B13" s="29"/>
    </row>
    <row r="14" spans="2:3" ht="120" x14ac:dyDescent="0.25">
      <c r="B14" s="29" t="s">
        <v>149</v>
      </c>
    </row>
    <row r="15" spans="2:3" x14ac:dyDescent="0.25">
      <c r="B15" s="29"/>
    </row>
    <row r="16" spans="2:3" x14ac:dyDescent="0.25">
      <c r="B16" s="27" t="s">
        <v>71</v>
      </c>
    </row>
    <row r="17" spans="2:15" ht="90" x14ac:dyDescent="0.25">
      <c r="B17" s="29" t="s">
        <v>72</v>
      </c>
    </row>
    <row r="18" spans="2:15" x14ac:dyDescent="0.25">
      <c r="B18" s="29"/>
    </row>
    <row r="19" spans="2:15" ht="75" x14ac:dyDescent="0.25">
      <c r="B19" s="29" t="s">
        <v>73</v>
      </c>
    </row>
    <row r="20" spans="2:15" x14ac:dyDescent="0.25">
      <c r="B20" s="29"/>
    </row>
    <row r="21" spans="2:15" ht="75" x14ac:dyDescent="0.25">
      <c r="B21" s="29" t="s">
        <v>169</v>
      </c>
    </row>
    <row r="22" spans="2:15" x14ac:dyDescent="0.25">
      <c r="B22" s="29"/>
    </row>
    <row r="23" spans="2:15" ht="60" x14ac:dyDescent="0.25">
      <c r="B23" s="29" t="s">
        <v>74</v>
      </c>
    </row>
    <row r="24" spans="2:15" x14ac:dyDescent="0.25">
      <c r="B24" s="29"/>
    </row>
    <row r="25" spans="2:15" ht="90" x14ac:dyDescent="0.25">
      <c r="B25" s="29" t="s">
        <v>152</v>
      </c>
      <c r="L25" s="30"/>
      <c r="M25" s="30"/>
      <c r="N25" s="30"/>
    </row>
    <row r="26" spans="2:15" x14ac:dyDescent="0.25">
      <c r="B26" s="29"/>
      <c r="L26" s="30"/>
      <c r="M26" s="30"/>
      <c r="N26" s="30"/>
    </row>
    <row r="27" spans="2:15" ht="165" x14ac:dyDescent="0.25">
      <c r="B27" s="29" t="s">
        <v>153</v>
      </c>
      <c r="L27" s="23"/>
      <c r="M27" s="30"/>
      <c r="N27" s="30"/>
    </row>
    <row r="28" spans="2:15" x14ac:dyDescent="0.25">
      <c r="B28" s="29"/>
      <c r="L28" s="23"/>
      <c r="M28" s="30"/>
      <c r="N28" s="30"/>
    </row>
    <row r="29" spans="2:15" x14ac:dyDescent="0.25">
      <c r="B29" s="27" t="s">
        <v>154</v>
      </c>
      <c r="L29" s="23"/>
      <c r="M29" s="30"/>
      <c r="N29" s="30"/>
    </row>
    <row r="30" spans="2:15" ht="120" x14ac:dyDescent="0.25">
      <c r="B30" s="208" t="s">
        <v>157</v>
      </c>
      <c r="L30" s="30"/>
      <c r="M30" s="30"/>
      <c r="N30" s="30"/>
      <c r="O30" s="30"/>
    </row>
    <row r="31" spans="2:15" x14ac:dyDescent="0.25">
      <c r="B31" s="29"/>
      <c r="L31" s="4"/>
      <c r="M31" s="4"/>
      <c r="N31" s="4"/>
      <c r="O31" s="30"/>
    </row>
    <row r="32" spans="2:15" ht="90" x14ac:dyDescent="0.25">
      <c r="B32" s="208" t="s">
        <v>175</v>
      </c>
      <c r="L32" s="4"/>
      <c r="M32" s="4"/>
      <c r="N32" s="4"/>
      <c r="O32" s="30"/>
    </row>
    <row r="33" spans="2:2" x14ac:dyDescent="0.25">
      <c r="B33" s="29"/>
    </row>
    <row r="34" spans="2:2" ht="90" x14ac:dyDescent="0.25">
      <c r="B34" s="29" t="s">
        <v>176</v>
      </c>
    </row>
    <row r="35" spans="2:2" x14ac:dyDescent="0.25">
      <c r="B35" s="29"/>
    </row>
    <row r="36" spans="2:2" ht="60" x14ac:dyDescent="0.25">
      <c r="B36" s="29" t="s">
        <v>155</v>
      </c>
    </row>
    <row r="37" spans="2:2" x14ac:dyDescent="0.25">
      <c r="B37" s="29"/>
    </row>
    <row r="38" spans="2:2" ht="105" x14ac:dyDescent="0.25">
      <c r="B38" s="29" t="s">
        <v>158</v>
      </c>
    </row>
    <row r="39" spans="2:2" x14ac:dyDescent="0.25">
      <c r="B39" s="29"/>
    </row>
    <row r="40" spans="2:2" x14ac:dyDescent="0.25">
      <c r="B40" s="27" t="s">
        <v>162</v>
      </c>
    </row>
    <row r="41" spans="2:2" ht="75" x14ac:dyDescent="0.25">
      <c r="B41" s="29" t="s">
        <v>163</v>
      </c>
    </row>
    <row r="42" spans="2:2" x14ac:dyDescent="0.25">
      <c r="B42" s="29"/>
    </row>
    <row r="43" spans="2:2" ht="75" x14ac:dyDescent="0.25">
      <c r="B43" s="29" t="s">
        <v>164</v>
      </c>
    </row>
    <row r="44" spans="2:2" x14ac:dyDescent="0.25">
      <c r="B44" s="29"/>
    </row>
    <row r="45" spans="2:2" ht="60" x14ac:dyDescent="0.25">
      <c r="B45" s="29" t="s">
        <v>165</v>
      </c>
    </row>
    <row r="46" spans="2:2" ht="105" x14ac:dyDescent="0.25">
      <c r="B46" s="27" t="s">
        <v>96</v>
      </c>
    </row>
  </sheetData>
  <phoneticPr fontId="2" type="noConversion"/>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0004"/>
  <sheetViews>
    <sheetView workbookViewId="0"/>
  </sheetViews>
  <sheetFormatPr defaultRowHeight="12.75" x14ac:dyDescent="0.2"/>
  <cols>
    <col min="1" max="4" width="36.7109375" customWidth="1"/>
  </cols>
  <sheetData>
    <row r="1" spans="1:3" x14ac:dyDescent="0.2">
      <c r="A1" s="21" t="s">
        <v>75</v>
      </c>
    </row>
    <row r="3" spans="1:3" x14ac:dyDescent="0.2">
      <c r="A3" t="s">
        <v>76</v>
      </c>
      <c r="B3" t="s">
        <v>77</v>
      </c>
      <c r="C3">
        <v>0</v>
      </c>
    </row>
    <row r="4" spans="1:3" x14ac:dyDescent="0.2">
      <c r="A4" t="s">
        <v>78</v>
      </c>
    </row>
    <row r="5" spans="1:3" x14ac:dyDescent="0.2">
      <c r="A5" t="s">
        <v>79</v>
      </c>
    </row>
    <row r="7" spans="1:3" x14ac:dyDescent="0.2">
      <c r="A7" s="21" t="s">
        <v>80</v>
      </c>
      <c r="B7" t="s">
        <v>81</v>
      </c>
    </row>
    <row r="8" spans="1:3" x14ac:dyDescent="0.2">
      <c r="B8">
        <v>3</v>
      </c>
    </row>
    <row r="10" spans="1:3" x14ac:dyDescent="0.2">
      <c r="A10" t="s">
        <v>82</v>
      </c>
    </row>
    <row r="11" spans="1:3" x14ac:dyDescent="0.2">
      <c r="A11" t="e">
        <f>CB_DATA_!#REF!</f>
        <v>#REF!</v>
      </c>
      <c r="B11" t="e">
        <f>'Decision Tree'!#REF!</f>
        <v>#REF!</v>
      </c>
      <c r="C11" t="e">
        <f>'Discounted Cashflow'!#REF!</f>
        <v>#REF!</v>
      </c>
    </row>
    <row r="13" spans="1:3" x14ac:dyDescent="0.2">
      <c r="A13" t="s">
        <v>83</v>
      </c>
    </row>
    <row r="14" spans="1:3" x14ac:dyDescent="0.2">
      <c r="A14" t="s">
        <v>92</v>
      </c>
      <c r="B14" t="s">
        <v>87</v>
      </c>
      <c r="C14" t="s">
        <v>91</v>
      </c>
    </row>
    <row r="16" spans="1:3" x14ac:dyDescent="0.2">
      <c r="A16" t="s">
        <v>84</v>
      </c>
    </row>
    <row r="19" spans="1:3" x14ac:dyDescent="0.2">
      <c r="A19" t="s">
        <v>85</v>
      </c>
    </row>
    <row r="20" spans="1:3" x14ac:dyDescent="0.2">
      <c r="A20">
        <v>34</v>
      </c>
      <c r="B20">
        <v>31</v>
      </c>
      <c r="C20">
        <v>34</v>
      </c>
    </row>
    <row r="25" spans="1:3" x14ac:dyDescent="0.2">
      <c r="A25" s="21" t="s">
        <v>86</v>
      </c>
    </row>
    <row r="26" spans="1:3" x14ac:dyDescent="0.2">
      <c r="A26" s="22" t="s">
        <v>88</v>
      </c>
      <c r="B26" s="22" t="s">
        <v>88</v>
      </c>
      <c r="C26" s="22" t="s">
        <v>88</v>
      </c>
    </row>
    <row r="27" spans="1:3" x14ac:dyDescent="0.2">
      <c r="A27" t="s">
        <v>170</v>
      </c>
      <c r="B27" t="s">
        <v>171</v>
      </c>
      <c r="C27" t="s">
        <v>172</v>
      </c>
    </row>
    <row r="28" spans="1:3" x14ac:dyDescent="0.2">
      <c r="A28" s="22" t="s">
        <v>89</v>
      </c>
      <c r="B28" s="22" t="s">
        <v>89</v>
      </c>
      <c r="C28" s="22" t="s">
        <v>89</v>
      </c>
    </row>
    <row r="29" spans="1:3" x14ac:dyDescent="0.2">
      <c r="A29" s="22" t="s">
        <v>156</v>
      </c>
      <c r="B29" s="22" t="s">
        <v>90</v>
      </c>
      <c r="C29" s="22" t="s">
        <v>145</v>
      </c>
    </row>
    <row r="30" spans="1:3" x14ac:dyDescent="0.2">
      <c r="A30" t="s">
        <v>173</v>
      </c>
      <c r="B30" t="s">
        <v>177</v>
      </c>
      <c r="C30" t="s">
        <v>178</v>
      </c>
    </row>
    <row r="31" spans="1:3" x14ac:dyDescent="0.2">
      <c r="A31" s="22" t="s">
        <v>140</v>
      </c>
      <c r="B31" s="22" t="s">
        <v>89</v>
      </c>
      <c r="C31" s="22" t="s">
        <v>89</v>
      </c>
    </row>
    <row r="32" spans="1:3" x14ac:dyDescent="0.2">
      <c r="A32" s="22" t="s">
        <v>90</v>
      </c>
      <c r="C32" s="22" t="s">
        <v>90</v>
      </c>
    </row>
    <row r="33" spans="1:3" x14ac:dyDescent="0.2">
      <c r="A33" t="s">
        <v>174</v>
      </c>
      <c r="C33" t="s">
        <v>179</v>
      </c>
    </row>
    <row r="34" spans="1:3" x14ac:dyDescent="0.2">
      <c r="A34" s="22" t="s">
        <v>89</v>
      </c>
      <c r="C34" s="22" t="s">
        <v>89</v>
      </c>
    </row>
    <row r="10000" spans="1:1" x14ac:dyDescent="0.2">
      <c r="A10000" t="s">
        <v>139</v>
      </c>
    </row>
    <row r="10001" spans="1:4" x14ac:dyDescent="0.2">
      <c r="A10001" t="str">
        <f>"{0.MEAN}"</f>
        <v>{0.MEAN}</v>
      </c>
    </row>
    <row r="10002" spans="1:4" x14ac:dyDescent="0.2">
      <c r="C10002" s="205"/>
    </row>
    <row r="10004" spans="1:4" x14ac:dyDescent="0.2">
      <c r="A10004" t="e">
        <f>"{0}" &lt;= 0.75*"{1}"</f>
        <v>#VALUE!</v>
      </c>
      <c r="B10004" t="b">
        <f>$C$10004 &lt;= $D$10004</f>
        <v>0</v>
      </c>
      <c r="C10004" s="205">
        <f>'Discounted Cashflow'!D14</f>
        <v>-100000</v>
      </c>
      <c r="D10004">
        <f>0.75*'Discounted Cashflow'!D13</f>
        <v>-150000</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97"/>
  <sheetViews>
    <sheetView showGridLines="0" tabSelected="1" zoomScaleNormal="100" workbookViewId="0"/>
  </sheetViews>
  <sheetFormatPr defaultRowHeight="15" outlineLevelRow="1" x14ac:dyDescent="0.25"/>
  <cols>
    <col min="1" max="1" width="2.28515625" style="1" customWidth="1"/>
    <col min="2" max="2" width="19.5703125" style="7" customWidth="1"/>
    <col min="3" max="3" width="8.7109375" style="7" customWidth="1"/>
    <col min="4" max="4" width="3.140625" style="4" customWidth="1"/>
    <col min="5" max="5" width="27.140625" style="7" customWidth="1"/>
    <col min="6" max="6" width="12.28515625" style="7" customWidth="1"/>
    <col min="7" max="7" width="3.5703125" style="4" bestFit="1" customWidth="1"/>
    <col min="8" max="8" width="4.140625" style="7" customWidth="1"/>
    <col min="9" max="9" width="26.85546875" style="7" bestFit="1" customWidth="1"/>
    <col min="10" max="10" width="12.5703125" style="4" customWidth="1"/>
    <col min="11" max="11" width="3.5703125" style="7" bestFit="1" customWidth="1"/>
    <col min="12" max="12" width="2.7109375" style="7" customWidth="1"/>
    <col min="13" max="13" width="26.85546875" style="7" bestFit="1" customWidth="1"/>
    <col min="14" max="14" width="10.140625" style="7" customWidth="1"/>
    <col min="15" max="15" width="5.5703125" style="7" customWidth="1"/>
    <col min="16" max="16" width="2.140625" style="7" customWidth="1"/>
    <col min="17" max="17" width="20" style="7" customWidth="1"/>
    <col min="18" max="18" width="13.5703125" style="7" customWidth="1"/>
    <col min="19" max="19" width="2.42578125" style="7" customWidth="1"/>
    <col min="20" max="20" width="12.140625" style="7" customWidth="1"/>
    <col min="21" max="16384" width="9.140625" style="7"/>
  </cols>
  <sheetData>
    <row r="1" spans="1:20" s="1" customFormat="1" ht="22.5" x14ac:dyDescent="0.3">
      <c r="A1" s="19"/>
      <c r="B1" s="20" t="s">
        <v>141</v>
      </c>
      <c r="D1" s="4"/>
      <c r="G1" s="4"/>
      <c r="I1" s="34" t="s">
        <v>144</v>
      </c>
      <c r="J1" s="4"/>
      <c r="M1" s="33" t="s">
        <v>95</v>
      </c>
    </row>
    <row r="2" spans="1:20" s="1" customFormat="1" ht="13.5" customHeight="1" x14ac:dyDescent="0.3">
      <c r="A2" s="19"/>
      <c r="B2" s="20"/>
      <c r="D2" s="4"/>
      <c r="G2" s="4"/>
      <c r="I2" s="34"/>
      <c r="J2" s="4"/>
    </row>
    <row r="3" spans="1:20" s="88" customFormat="1" ht="12" customHeight="1" x14ac:dyDescent="0.2">
      <c r="A3" s="87"/>
      <c r="B3" s="90"/>
      <c r="C3" s="91"/>
      <c r="D3" s="91"/>
      <c r="E3" s="92"/>
      <c r="F3" s="92"/>
      <c r="G3" s="91"/>
      <c r="H3" s="91"/>
      <c r="I3" s="93"/>
      <c r="J3" s="93"/>
      <c r="K3" s="91"/>
      <c r="L3" s="91"/>
      <c r="M3" s="94"/>
      <c r="N3" s="94"/>
      <c r="O3" s="91"/>
      <c r="P3" s="91"/>
      <c r="Q3" s="95"/>
      <c r="R3" s="95"/>
      <c r="S3" s="95"/>
      <c r="T3" s="96"/>
    </row>
    <row r="4" spans="1:20" s="88" customFormat="1" ht="21.75" customHeight="1" x14ac:dyDescent="0.2">
      <c r="A4" s="87"/>
      <c r="B4" s="97"/>
      <c r="C4" s="89"/>
      <c r="D4" s="158"/>
      <c r="E4" s="218" t="str">
        <f ca="1">E32&amp;IF(E15=1," - GO!"," - FAIL")</f>
        <v>Technical Feasibility - GO!</v>
      </c>
      <c r="F4" s="218"/>
      <c r="G4" s="103"/>
      <c r="H4" s="103"/>
      <c r="I4" s="216" t="str">
        <f ca="1">I32&amp;IF(I11=1," - GO!"," - FAIL")</f>
        <v>Manufacturing Phase - GO!</v>
      </c>
      <c r="J4" s="216"/>
      <c r="K4" s="103"/>
      <c r="L4" s="103"/>
      <c r="M4" s="217" t="str">
        <f ca="1">M32&amp;IF(M7=1," - GO!"," - FAIL")</f>
        <v>Marketing Phase - GO!</v>
      </c>
      <c r="N4" s="217"/>
      <c r="O4" s="103"/>
      <c r="P4" s="103"/>
      <c r="Q4" s="211" t="str">
        <f ca="1">IF(Q5=1,"Launch Success!","Launch Fail")</f>
        <v>Launch Success!</v>
      </c>
      <c r="R4" s="211"/>
      <c r="S4" s="211"/>
      <c r="T4" s="98"/>
    </row>
    <row r="5" spans="1:20" s="88" customFormat="1" ht="12" customHeight="1" x14ac:dyDescent="0.25">
      <c r="A5" s="87"/>
      <c r="B5" s="123" t="s">
        <v>113</v>
      </c>
      <c r="C5" s="9">
        <f>Project_Start</f>
        <v>0</v>
      </c>
      <c r="D5" s="4"/>
      <c r="E5" s="124"/>
      <c r="F5" s="124"/>
      <c r="G5" s="4"/>
      <c r="H5" s="4"/>
      <c r="I5" s="125"/>
      <c r="J5" s="125"/>
      <c r="K5" s="4"/>
      <c r="L5" s="4"/>
      <c r="M5" s="126"/>
      <c r="N5" s="127"/>
      <c r="O5" s="4"/>
      <c r="P5" s="4"/>
      <c r="Q5" s="156">
        <f ca="1">IF(M7&gt;0,IF(Q8&gt;0,1,0),0)</f>
        <v>1</v>
      </c>
      <c r="R5" s="128"/>
      <c r="S5" s="128"/>
      <c r="T5" s="129"/>
    </row>
    <row r="6" spans="1:20" s="88" customFormat="1" ht="12" customHeight="1" x14ac:dyDescent="0.25">
      <c r="A6" s="87"/>
      <c r="B6" s="123" t="s">
        <v>34</v>
      </c>
      <c r="C6" s="9">
        <f>Current_Year</f>
        <v>0</v>
      </c>
      <c r="D6" s="4"/>
      <c r="E6" s="124"/>
      <c r="F6" s="124"/>
      <c r="G6" s="4"/>
      <c r="H6" s="4"/>
      <c r="I6" s="125"/>
      <c r="J6" s="125"/>
      <c r="K6" s="4"/>
      <c r="L6" s="4"/>
      <c r="M6" s="127"/>
      <c r="N6" s="127"/>
      <c r="O6" s="4"/>
      <c r="P6" s="4"/>
      <c r="Q6" s="130" t="s">
        <v>11</v>
      </c>
      <c r="R6" s="128"/>
      <c r="S6" s="128"/>
      <c r="T6" s="129"/>
    </row>
    <row r="7" spans="1:20" s="88" customFormat="1" ht="12" customHeight="1" x14ac:dyDescent="0.25">
      <c r="A7" s="87"/>
      <c r="B7" s="59"/>
      <c r="C7" s="4"/>
      <c r="D7" s="4"/>
      <c r="E7" s="124"/>
      <c r="F7" s="124"/>
      <c r="G7" s="4"/>
      <c r="H7" s="4"/>
      <c r="I7" s="125"/>
      <c r="J7" s="125"/>
      <c r="K7" s="4"/>
      <c r="L7" s="4"/>
      <c r="M7" s="155">
        <f ca="1">IF(I11&gt;0,IF(Current_Year&gt;O30,1, IF(Q8+M10&gt;0,_xll.CB.Binomial('Decision Tree'!N52,1,0,1,0),0)),0)</f>
        <v>1</v>
      </c>
      <c r="N7" s="127"/>
      <c r="O7" s="4"/>
      <c r="P7" s="4"/>
      <c r="Q7" s="128"/>
      <c r="R7" s="128"/>
      <c r="S7" s="128"/>
      <c r="T7" s="131">
        <f ca="1">SUM(Q8,M10,I14,E18)</f>
        <v>712130.34918364952</v>
      </c>
    </row>
    <row r="8" spans="1:20" s="88" customFormat="1" ht="12" customHeight="1" x14ac:dyDescent="0.25">
      <c r="A8" s="87"/>
      <c r="B8" s="59"/>
      <c r="C8" s="4"/>
      <c r="D8" s="4"/>
      <c r="E8" s="124"/>
      <c r="F8" s="124"/>
      <c r="G8" s="4"/>
      <c r="H8" s="4"/>
      <c r="I8" s="125"/>
      <c r="J8" s="125"/>
      <c r="K8" s="4"/>
      <c r="L8" s="4"/>
      <c r="M8" s="132" t="s">
        <v>8</v>
      </c>
      <c r="N8" s="127"/>
      <c r="O8" s="4"/>
      <c r="P8" s="4"/>
      <c r="Q8" s="133">
        <f ca="1">T34-T40</f>
        <v>781450.54685730289</v>
      </c>
      <c r="R8" s="133">
        <f ca="1">T7</f>
        <v>712130.34918364952</v>
      </c>
      <c r="S8" s="128"/>
      <c r="T8" s="131"/>
    </row>
    <row r="9" spans="1:20" s="88" customFormat="1" ht="12" customHeight="1" x14ac:dyDescent="0.25">
      <c r="A9" s="87"/>
      <c r="B9" s="59"/>
      <c r="C9" s="4"/>
      <c r="D9" s="4"/>
      <c r="E9" s="124" t="s">
        <v>3</v>
      </c>
      <c r="F9" s="124" t="s">
        <v>3</v>
      </c>
      <c r="G9" s="4" t="s">
        <v>3</v>
      </c>
      <c r="H9" s="4"/>
      <c r="I9" s="125"/>
      <c r="J9" s="125"/>
      <c r="K9" s="4"/>
      <c r="L9" s="4"/>
      <c r="M9" s="127"/>
      <c r="N9" s="127"/>
      <c r="O9" s="4"/>
      <c r="P9" s="4"/>
      <c r="Q9" s="134"/>
      <c r="R9" s="134"/>
      <c r="S9" s="128"/>
      <c r="T9" s="131"/>
    </row>
    <row r="10" spans="1:20" s="88" customFormat="1" ht="12" customHeight="1" x14ac:dyDescent="0.25">
      <c r="A10" s="87"/>
      <c r="B10" s="59" t="s">
        <v>3</v>
      </c>
      <c r="C10" s="4"/>
      <c r="D10" s="4"/>
      <c r="E10" s="124"/>
      <c r="F10" s="124"/>
      <c r="G10" s="4"/>
      <c r="H10" s="4"/>
      <c r="I10" s="125"/>
      <c r="J10" s="125" t="s">
        <v>3</v>
      </c>
      <c r="K10" s="4" t="s">
        <v>3</v>
      </c>
      <c r="L10" s="4"/>
      <c r="M10" s="135">
        <f>T40</f>
        <v>-20210.178568404182</v>
      </c>
      <c r="N10" s="136"/>
      <c r="O10" s="4"/>
      <c r="P10" s="4"/>
      <c r="Q10" s="157">
        <f ca="1">IF(M7=0,0,1-Q5)</f>
        <v>0</v>
      </c>
      <c r="R10" s="134"/>
      <c r="S10" s="128"/>
      <c r="T10" s="131"/>
    </row>
    <row r="11" spans="1:20" s="88" customFormat="1" ht="12" customHeight="1" x14ac:dyDescent="0.25">
      <c r="A11" s="87"/>
      <c r="B11" s="59"/>
      <c r="C11" s="4"/>
      <c r="D11" s="4"/>
      <c r="E11" s="124"/>
      <c r="F11" s="124"/>
      <c r="G11" s="4"/>
      <c r="H11" s="4"/>
      <c r="I11" s="155">
        <f ca="1">IF(E15&gt;0,IF(Current_Year&gt;K30,1, IF(M10+I14+Q8&gt;0,_xll.CB.Binomial('Decision Tree'!J52,1,0,1,0),0)),0)</f>
        <v>1</v>
      </c>
      <c r="J11" s="125"/>
      <c r="K11" s="4"/>
      <c r="L11" s="4"/>
      <c r="M11" s="137"/>
      <c r="N11" s="137"/>
      <c r="O11" s="4"/>
      <c r="P11" s="4"/>
      <c r="Q11" s="138" t="s">
        <v>10</v>
      </c>
      <c r="R11" s="134"/>
      <c r="S11" s="128"/>
      <c r="T11" s="131"/>
    </row>
    <row r="12" spans="1:20" s="88" customFormat="1" ht="12" customHeight="1" x14ac:dyDescent="0.25">
      <c r="A12" s="87"/>
      <c r="B12" s="59"/>
      <c r="C12" s="4"/>
      <c r="D12" s="4"/>
      <c r="E12" s="124"/>
      <c r="F12" s="124"/>
      <c r="G12" s="4"/>
      <c r="H12" s="4"/>
      <c r="I12" s="139" t="s">
        <v>68</v>
      </c>
      <c r="J12" s="125"/>
      <c r="K12" s="4"/>
      <c r="L12" s="4"/>
      <c r="M12" s="127"/>
      <c r="N12" s="127"/>
      <c r="O12" s="4"/>
      <c r="P12" s="4"/>
      <c r="Q12" s="134"/>
      <c r="R12" s="134"/>
      <c r="S12" s="128"/>
      <c r="T12" s="131">
        <f>SUM(Q13,M10,I14,E18)</f>
        <v>-69320.197673653369</v>
      </c>
    </row>
    <row r="13" spans="1:20" s="88" customFormat="1" ht="12" customHeight="1" x14ac:dyDescent="0.25">
      <c r="A13" s="87"/>
      <c r="B13" s="59"/>
      <c r="C13" s="4"/>
      <c r="D13" s="4"/>
      <c r="E13" s="124"/>
      <c r="F13" s="124"/>
      <c r="G13" s="4"/>
      <c r="H13" s="4"/>
      <c r="I13" s="125"/>
      <c r="J13" s="125"/>
      <c r="K13" s="4"/>
      <c r="L13" s="4"/>
      <c r="M13" s="127"/>
      <c r="N13" s="127"/>
      <c r="O13" s="4"/>
      <c r="P13" s="4"/>
      <c r="Q13" s="133">
        <v>0</v>
      </c>
      <c r="R13" s="133">
        <f>T12</f>
        <v>-69320.197673653369</v>
      </c>
      <c r="S13" s="128"/>
      <c r="T13" s="131"/>
    </row>
    <row r="14" spans="1:20" s="88" customFormat="1" ht="12" customHeight="1" x14ac:dyDescent="0.25">
      <c r="A14" s="87"/>
      <c r="B14" s="59"/>
      <c r="C14" s="4"/>
      <c r="D14" s="4"/>
      <c r="E14" s="124"/>
      <c r="F14" s="124"/>
      <c r="G14" s="4"/>
      <c r="H14" s="4"/>
      <c r="I14" s="140">
        <f>T39</f>
        <v>-23391.077545151475</v>
      </c>
      <c r="J14" s="141"/>
      <c r="K14" s="4"/>
      <c r="L14" s="4"/>
      <c r="M14" s="127"/>
      <c r="N14" s="127"/>
      <c r="O14" s="4"/>
      <c r="P14" s="4"/>
      <c r="Q14" s="128"/>
      <c r="R14" s="128"/>
      <c r="S14" s="128"/>
      <c r="T14" s="131"/>
    </row>
    <row r="15" spans="1:20" s="88" customFormat="1" ht="12" customHeight="1" x14ac:dyDescent="0.25">
      <c r="A15" s="87"/>
      <c r="B15" s="59"/>
      <c r="C15" s="4"/>
      <c r="D15" s="4"/>
      <c r="E15" s="155">
        <f ca="1">IF(Current_Year&gt;G30,1, IF(I14+E18+M10+Q8&gt;0,_xll.CB.Binomial('Decision Tree'!F52,1,0,1,0),0))</f>
        <v>1</v>
      </c>
      <c r="F15" s="124"/>
      <c r="G15" s="4"/>
      <c r="H15" s="4"/>
      <c r="I15" s="125"/>
      <c r="J15" s="125"/>
      <c r="K15" s="4"/>
      <c r="L15" s="4"/>
      <c r="M15" s="155">
        <f ca="1">IF(I11=0,0,1-M7)</f>
        <v>0</v>
      </c>
      <c r="N15" s="127"/>
      <c r="O15" s="4"/>
      <c r="P15" s="4"/>
      <c r="Q15" s="128"/>
      <c r="R15" s="128"/>
      <c r="S15" s="128"/>
      <c r="T15" s="131"/>
    </row>
    <row r="16" spans="1:20" s="88" customFormat="1" ht="12" customHeight="1" x14ac:dyDescent="0.25">
      <c r="A16" s="87"/>
      <c r="B16" s="59"/>
      <c r="C16" s="4"/>
      <c r="D16" s="4"/>
      <c r="E16" s="142" t="s">
        <v>5</v>
      </c>
      <c r="F16" s="124"/>
      <c r="G16" s="4"/>
      <c r="H16" s="4"/>
      <c r="I16" s="125"/>
      <c r="J16" s="125"/>
      <c r="K16" s="4"/>
      <c r="L16" s="4"/>
      <c r="M16" s="132" t="s">
        <v>9</v>
      </c>
      <c r="N16" s="127"/>
      <c r="O16" s="4"/>
      <c r="P16" s="4"/>
      <c r="Q16" s="128"/>
      <c r="R16" s="128"/>
      <c r="S16" s="128"/>
      <c r="T16" s="131"/>
    </row>
    <row r="17" spans="1:25" s="88" customFormat="1" ht="12" customHeight="1" x14ac:dyDescent="0.25">
      <c r="A17" s="87"/>
      <c r="B17" s="59"/>
      <c r="C17" s="4"/>
      <c r="D17" s="4"/>
      <c r="E17" s="124"/>
      <c r="F17" s="124"/>
      <c r="G17" s="4"/>
      <c r="H17" s="4"/>
      <c r="I17" s="125"/>
      <c r="J17" s="125"/>
      <c r="K17" s="4"/>
      <c r="L17" s="4"/>
      <c r="M17" s="127"/>
      <c r="N17" s="127"/>
      <c r="O17" s="4"/>
      <c r="P17" s="4"/>
      <c r="Q17" s="128"/>
      <c r="R17" s="128"/>
      <c r="S17" s="128"/>
      <c r="T17" s="131">
        <f>SUM(M18,I14,E18)</f>
        <v>-69320.197673653369</v>
      </c>
    </row>
    <row r="18" spans="1:25" s="88" customFormat="1" ht="12" customHeight="1" x14ac:dyDescent="0.25">
      <c r="A18" s="87"/>
      <c r="B18" s="59"/>
      <c r="C18" s="4"/>
      <c r="D18" s="4"/>
      <c r="E18" s="143">
        <f>T38</f>
        <v>-25718.941560097708</v>
      </c>
      <c r="F18" s="144"/>
      <c r="G18" s="4"/>
      <c r="H18" s="4"/>
      <c r="I18" s="125"/>
      <c r="J18" s="125"/>
      <c r="K18" s="4"/>
      <c r="L18" s="4"/>
      <c r="M18" s="135">
        <f>M10</f>
        <v>-20210.178568404182</v>
      </c>
      <c r="N18" s="135">
        <f>T17</f>
        <v>-69320.197673653369</v>
      </c>
      <c r="O18" s="4"/>
      <c r="P18" s="4"/>
      <c r="Q18" s="128"/>
      <c r="R18" s="128"/>
      <c r="S18" s="128"/>
      <c r="T18" s="131"/>
    </row>
    <row r="19" spans="1:25" s="88" customFormat="1" ht="12" customHeight="1" x14ac:dyDescent="0.25">
      <c r="A19" s="87"/>
      <c r="B19" s="59"/>
      <c r="C19" s="4"/>
      <c r="D19" s="4"/>
      <c r="E19" s="124"/>
      <c r="F19" s="124"/>
      <c r="G19" s="4"/>
      <c r="H19" s="4"/>
      <c r="I19" s="125"/>
      <c r="J19" s="125"/>
      <c r="K19" s="4"/>
      <c r="L19" s="4"/>
      <c r="M19" s="127"/>
      <c r="N19" s="127"/>
      <c r="O19" s="4"/>
      <c r="P19" s="4"/>
      <c r="Q19" s="128"/>
      <c r="R19" s="128"/>
      <c r="S19" s="128"/>
      <c r="T19" s="131"/>
    </row>
    <row r="20" spans="1:25" s="88" customFormat="1" ht="12" customHeight="1" x14ac:dyDescent="0.25">
      <c r="A20" s="87"/>
      <c r="B20" s="123" t="s">
        <v>116</v>
      </c>
      <c r="C20" s="4"/>
      <c r="D20" s="4"/>
      <c r="E20" s="124"/>
      <c r="F20" s="124"/>
      <c r="G20" s="4"/>
      <c r="H20" s="4"/>
      <c r="I20" s="155">
        <f ca="1">IF(E15=0,0,1-I11)</f>
        <v>0</v>
      </c>
      <c r="J20" s="125"/>
      <c r="K20" s="4"/>
      <c r="L20" s="4"/>
      <c r="M20" s="127"/>
      <c r="N20" s="127"/>
      <c r="O20" s="4"/>
      <c r="P20" s="4"/>
      <c r="Q20" s="128"/>
      <c r="R20" s="128"/>
      <c r="S20" s="128"/>
      <c r="T20" s="131"/>
    </row>
    <row r="21" spans="1:25" s="88" customFormat="1" ht="12" customHeight="1" x14ac:dyDescent="0.25">
      <c r="A21" s="87"/>
      <c r="B21" s="145"/>
      <c r="C21" s="4"/>
      <c r="D21" s="4"/>
      <c r="E21" s="124"/>
      <c r="F21" s="124"/>
      <c r="G21" s="4"/>
      <c r="H21" s="4"/>
      <c r="I21" s="139" t="s">
        <v>7</v>
      </c>
      <c r="J21" s="125"/>
      <c r="K21" s="4"/>
      <c r="L21" s="4"/>
      <c r="M21" s="127"/>
      <c r="N21" s="127"/>
      <c r="O21" s="4"/>
      <c r="P21" s="4"/>
      <c r="Q21" s="128"/>
      <c r="R21" s="128"/>
      <c r="S21" s="128"/>
      <c r="T21" s="131"/>
    </row>
    <row r="22" spans="1:25" s="88" customFormat="1" ht="12" customHeight="1" x14ac:dyDescent="0.25">
      <c r="A22" s="87"/>
      <c r="B22" s="146"/>
      <c r="C22" s="4"/>
      <c r="D22" s="4"/>
      <c r="E22" s="124"/>
      <c r="F22" s="124"/>
      <c r="G22" s="4"/>
      <c r="H22" s="4"/>
      <c r="I22" s="125"/>
      <c r="J22" s="125"/>
      <c r="K22" s="4"/>
      <c r="L22" s="4"/>
      <c r="M22" s="127"/>
      <c r="N22" s="127"/>
      <c r="O22" s="4"/>
      <c r="P22" s="4"/>
      <c r="Q22" s="128"/>
      <c r="R22" s="128"/>
      <c r="S22" s="128"/>
      <c r="T22" s="131">
        <f>SUM(I23,E18)</f>
        <v>-49110.019105249186</v>
      </c>
    </row>
    <row r="23" spans="1:25" s="88" customFormat="1" ht="12" customHeight="1" x14ac:dyDescent="0.25">
      <c r="A23" s="87"/>
      <c r="B23" s="147">
        <f ca="1">IF(E25=1,T38,IF(I20=1,T39,IF(M15=1,T40,IF(Q5=1,T34,T40))))</f>
        <v>761240.36828889872</v>
      </c>
      <c r="C23" s="4"/>
      <c r="D23" s="4"/>
      <c r="E23" s="124"/>
      <c r="F23" s="124"/>
      <c r="G23" s="4"/>
      <c r="H23" s="4"/>
      <c r="I23" s="140">
        <f>I14</f>
        <v>-23391.077545151475</v>
      </c>
      <c r="J23" s="140">
        <f>T22</f>
        <v>-49110.019105249186</v>
      </c>
      <c r="K23" s="4"/>
      <c r="L23" s="4"/>
      <c r="M23" s="127"/>
      <c r="N23" s="127"/>
      <c r="O23" s="4"/>
      <c r="P23" s="4"/>
      <c r="Q23" s="128"/>
      <c r="R23" s="128"/>
      <c r="S23" s="128"/>
      <c r="T23" s="131"/>
    </row>
    <row r="24" spans="1:25" s="88" customFormat="1" ht="12" customHeight="1" x14ac:dyDescent="0.25">
      <c r="A24" s="87"/>
      <c r="B24" s="59"/>
      <c r="C24" s="4"/>
      <c r="D24" s="4"/>
      <c r="E24" s="124"/>
      <c r="F24" s="124"/>
      <c r="G24" s="4"/>
      <c r="H24" s="4"/>
      <c r="I24" s="125"/>
      <c r="J24" s="125"/>
      <c r="K24" s="4"/>
      <c r="L24" s="4"/>
      <c r="M24" s="127"/>
      <c r="N24" s="127"/>
      <c r="O24" s="4"/>
      <c r="P24" s="4"/>
      <c r="Q24" s="128"/>
      <c r="R24" s="128"/>
      <c r="S24" s="128"/>
      <c r="T24" s="131"/>
    </row>
    <row r="25" spans="1:25" s="88" customFormat="1" ht="12" customHeight="1" x14ac:dyDescent="0.25">
      <c r="A25" s="87"/>
      <c r="B25" s="59"/>
      <c r="C25" s="4"/>
      <c r="D25" s="4"/>
      <c r="E25" s="155">
        <f ca="1">1-E15</f>
        <v>0</v>
      </c>
      <c r="F25" s="124"/>
      <c r="G25" s="4"/>
      <c r="H25" s="4"/>
      <c r="I25" s="125"/>
      <c r="J25" s="125"/>
      <c r="K25" s="4"/>
      <c r="L25" s="4"/>
      <c r="M25" s="127"/>
      <c r="N25" s="127"/>
      <c r="O25" s="4"/>
      <c r="P25" s="4"/>
      <c r="Q25" s="128"/>
      <c r="R25" s="128"/>
      <c r="S25" s="128"/>
      <c r="T25" s="131"/>
    </row>
    <row r="26" spans="1:25" s="88" customFormat="1" ht="12" customHeight="1" x14ac:dyDescent="0.25">
      <c r="A26" s="87"/>
      <c r="B26" s="59"/>
      <c r="C26" s="4"/>
      <c r="D26" s="4"/>
      <c r="E26" s="142" t="s">
        <v>6</v>
      </c>
      <c r="F26" s="124"/>
      <c r="G26" s="4"/>
      <c r="H26" s="4"/>
      <c r="I26" s="125"/>
      <c r="J26" s="125"/>
      <c r="K26" s="4"/>
      <c r="L26" s="4"/>
      <c r="M26" s="127"/>
      <c r="N26" s="127"/>
      <c r="O26" s="4"/>
      <c r="P26" s="4"/>
      <c r="Q26" s="128"/>
      <c r="R26" s="128"/>
      <c r="S26" s="128"/>
      <c r="T26" s="131"/>
    </row>
    <row r="27" spans="1:25" s="88" customFormat="1" ht="12" customHeight="1" x14ac:dyDescent="0.25">
      <c r="A27" s="87"/>
      <c r="B27" s="59"/>
      <c r="C27" s="4"/>
      <c r="D27" s="4"/>
      <c r="E27" s="124"/>
      <c r="F27" s="124"/>
      <c r="G27" s="4"/>
      <c r="H27" s="4"/>
      <c r="I27" s="125"/>
      <c r="J27" s="125"/>
      <c r="K27" s="4"/>
      <c r="L27" s="4"/>
      <c r="M27" s="127"/>
      <c r="N27" s="127"/>
      <c r="O27" s="4"/>
      <c r="P27" s="4"/>
      <c r="Q27" s="128"/>
      <c r="R27" s="128"/>
      <c r="S27" s="128"/>
      <c r="T27" s="131">
        <f>SUM(E28)</f>
        <v>-25718.941560097708</v>
      </c>
    </row>
    <row r="28" spans="1:25" s="88" customFormat="1" ht="12" customHeight="1" x14ac:dyDescent="0.25">
      <c r="A28" s="87"/>
      <c r="B28" s="59"/>
      <c r="C28" s="4"/>
      <c r="D28" s="4"/>
      <c r="E28" s="143">
        <f>E18</f>
        <v>-25718.941560097708</v>
      </c>
      <c r="F28" s="143">
        <f>T27</f>
        <v>-25718.941560097708</v>
      </c>
      <c r="G28" s="4"/>
      <c r="H28" s="4"/>
      <c r="I28" s="125"/>
      <c r="J28" s="125"/>
      <c r="K28" s="4"/>
      <c r="L28" s="4"/>
      <c r="M28" s="127"/>
      <c r="N28" s="127"/>
      <c r="O28" s="4"/>
      <c r="P28" s="4"/>
      <c r="Q28" s="128"/>
      <c r="R28" s="128"/>
      <c r="S28" s="128"/>
      <c r="T28" s="129"/>
    </row>
    <row r="29" spans="1:25" s="88" customFormat="1" ht="12" customHeight="1" x14ac:dyDescent="0.25">
      <c r="A29" s="87"/>
      <c r="B29" s="59"/>
      <c r="C29" s="4"/>
      <c r="D29" s="4"/>
      <c r="E29" s="124"/>
      <c r="F29" s="124"/>
      <c r="G29" s="4"/>
      <c r="H29" s="4"/>
      <c r="I29" s="125"/>
      <c r="J29" s="125"/>
      <c r="K29" s="4"/>
      <c r="L29" s="4"/>
      <c r="M29" s="127"/>
      <c r="N29" s="127"/>
      <c r="O29" s="4"/>
      <c r="P29" s="4"/>
      <c r="Q29" s="128"/>
      <c r="R29" s="128"/>
      <c r="S29" s="128"/>
      <c r="T29" s="129"/>
    </row>
    <row r="30" spans="1:25" s="88" customFormat="1" ht="12" customHeight="1" x14ac:dyDescent="0.25">
      <c r="A30" s="87"/>
      <c r="B30" s="148" t="s">
        <v>12</v>
      </c>
      <c r="C30" s="149">
        <f>Project_Start</f>
        <v>0</v>
      </c>
      <c r="D30" s="149"/>
      <c r="E30" s="149"/>
      <c r="F30" s="149"/>
      <c r="G30" s="150">
        <f>F34</f>
        <v>4.6129241022781793</v>
      </c>
      <c r="H30" s="149"/>
      <c r="I30" s="149"/>
      <c r="J30" s="149"/>
      <c r="K30" s="150">
        <f>J34</f>
        <v>6.2685981835169056</v>
      </c>
      <c r="L30" s="149"/>
      <c r="M30" s="149"/>
      <c r="N30" s="149"/>
      <c r="O30" s="150">
        <f>'Decision Tree'!N34</f>
        <v>7.4656385980617861</v>
      </c>
      <c r="P30" s="149"/>
      <c r="Q30" s="149"/>
      <c r="R30" s="150">
        <f>Production_Start+'Discounted Cashflow'!C16-1</f>
        <v>20.465638598061787</v>
      </c>
      <c r="S30" s="149"/>
      <c r="T30" s="151"/>
    </row>
    <row r="31" spans="1:25" s="1" customFormat="1" ht="22.5" x14ac:dyDescent="0.3">
      <c r="A31" s="19"/>
      <c r="B31" s="20"/>
      <c r="D31" s="4"/>
      <c r="G31" s="4"/>
      <c r="I31" s="34"/>
      <c r="J31" s="4"/>
    </row>
    <row r="32" spans="1:25" s="1" customFormat="1" ht="22.5" x14ac:dyDescent="0.3">
      <c r="A32" s="19"/>
      <c r="D32" s="85"/>
      <c r="E32" s="213" t="s">
        <v>16</v>
      </c>
      <c r="F32" s="213"/>
      <c r="G32" s="4"/>
      <c r="H32" s="4"/>
      <c r="I32" s="214" t="s">
        <v>109</v>
      </c>
      <c r="J32" s="214"/>
      <c r="K32" s="4"/>
      <c r="L32" s="4"/>
      <c r="M32" s="215" t="s">
        <v>110</v>
      </c>
      <c r="N32" s="215"/>
      <c r="Q32" s="212" t="s">
        <v>114</v>
      </c>
      <c r="R32" s="212"/>
      <c r="S32" s="212"/>
      <c r="U32"/>
      <c r="V32"/>
      <c r="W32"/>
      <c r="X32"/>
      <c r="Y32" s="84"/>
    </row>
    <row r="33" spans="1:25" s="1" customFormat="1" ht="15" customHeight="1" x14ac:dyDescent="0.3">
      <c r="A33" s="19"/>
      <c r="D33" s="85"/>
      <c r="E33" s="23" t="s">
        <v>69</v>
      </c>
      <c r="F33" s="5">
        <f>F46</f>
        <v>4.6129241022781793</v>
      </c>
      <c r="G33" s="4"/>
      <c r="H33" s="4"/>
      <c r="I33" s="23" t="s">
        <v>69</v>
      </c>
      <c r="J33" s="5">
        <f>J46</f>
        <v>1.6556740812387267</v>
      </c>
      <c r="K33" s="4"/>
      <c r="L33" s="4"/>
      <c r="M33" s="23" t="s">
        <v>69</v>
      </c>
      <c r="N33" s="5">
        <f>N46</f>
        <v>1.1970404145448803</v>
      </c>
      <c r="Q33" s="152" t="s">
        <v>66</v>
      </c>
      <c r="R33" s="23"/>
      <c r="S33" s="23"/>
      <c r="T33" s="153">
        <f ca="1">1-SUM(F53,J53,N53)</f>
        <v>0.58666859085361045</v>
      </c>
      <c r="U33"/>
      <c r="V33"/>
      <c r="W33"/>
      <c r="X33"/>
      <c r="Y33" s="84"/>
    </row>
    <row r="34" spans="1:25" s="1" customFormat="1" ht="15" customHeight="1" x14ac:dyDescent="0.3">
      <c r="A34" s="19"/>
      <c r="B34" s="100"/>
      <c r="C34" s="84"/>
      <c r="D34" s="85"/>
      <c r="E34" s="23" t="s">
        <v>32</v>
      </c>
      <c r="F34" s="5">
        <f>Project_Start+F46</f>
        <v>4.6129241022781793</v>
      </c>
      <c r="G34" s="4"/>
      <c r="H34" s="4"/>
      <c r="I34" s="23" t="s">
        <v>32</v>
      </c>
      <c r="J34" s="5">
        <f>F34+J46</f>
        <v>6.2685981835169056</v>
      </c>
      <c r="K34" s="4"/>
      <c r="L34" s="4"/>
      <c r="M34" s="23" t="s">
        <v>32</v>
      </c>
      <c r="N34" s="5">
        <f>J34+N46</f>
        <v>7.4656385980617861</v>
      </c>
      <c r="Q34" s="152" t="s">
        <v>20</v>
      </c>
      <c r="T34" s="154">
        <f ca="1">'Discounted Cashflow'!J12</f>
        <v>761240.36828889872</v>
      </c>
      <c r="U34"/>
      <c r="V34"/>
      <c r="W34"/>
      <c r="X34"/>
      <c r="Y34" s="84"/>
    </row>
    <row r="35" spans="1:25" s="1" customFormat="1" ht="15" customHeight="1" x14ac:dyDescent="0.25">
      <c r="D35" s="85"/>
      <c r="U35"/>
      <c r="V35"/>
      <c r="W35"/>
      <c r="X35"/>
      <c r="Y35" s="84"/>
    </row>
    <row r="36" spans="1:25" s="1" customFormat="1" ht="15" customHeight="1" x14ac:dyDescent="0.25">
      <c r="D36" s="85"/>
      <c r="E36" s="23" t="s">
        <v>15</v>
      </c>
      <c r="F36" s="4"/>
      <c r="G36" s="4"/>
      <c r="H36" s="4"/>
      <c r="I36" s="23" t="s">
        <v>15</v>
      </c>
      <c r="J36" s="4"/>
      <c r="K36" s="4"/>
      <c r="L36" s="4"/>
      <c r="M36" s="23" t="s">
        <v>15</v>
      </c>
      <c r="N36" s="4"/>
      <c r="U36" s="85"/>
      <c r="V36" s="85"/>
      <c r="W36" s="85"/>
      <c r="Y36" s="84"/>
    </row>
    <row r="37" spans="1:25" s="1" customFormat="1" ht="15" customHeight="1" outlineLevel="1" x14ac:dyDescent="0.25">
      <c r="D37" s="85"/>
      <c r="E37" s="4" t="s">
        <v>17</v>
      </c>
      <c r="F37" s="108">
        <v>-12308.043319729482</v>
      </c>
      <c r="G37" s="4"/>
      <c r="H37" s="4"/>
      <c r="I37" s="4" t="s">
        <v>25</v>
      </c>
      <c r="J37" s="108">
        <v>-13496.732184654864</v>
      </c>
      <c r="K37" s="4"/>
      <c r="L37" s="4"/>
      <c r="M37" s="4" t="s">
        <v>21</v>
      </c>
      <c r="N37" s="108">
        <v>-5283.7718912119972</v>
      </c>
      <c r="Q37" s="105" t="s">
        <v>114</v>
      </c>
      <c r="R37" s="104"/>
      <c r="S37" s="106"/>
      <c r="T37" s="107" t="s">
        <v>2</v>
      </c>
      <c r="U37" s="84"/>
      <c r="V37" s="84"/>
      <c r="W37" s="84"/>
      <c r="X37" s="84"/>
      <c r="Y37" s="84"/>
    </row>
    <row r="38" spans="1:25" s="1" customFormat="1" ht="15" customHeight="1" outlineLevel="1" x14ac:dyDescent="0.25">
      <c r="D38" s="85"/>
      <c r="E38" s="4" t="s">
        <v>18</v>
      </c>
      <c r="F38" s="108">
        <v>-13192.491722939805</v>
      </c>
      <c r="G38" s="4"/>
      <c r="H38" s="4"/>
      <c r="I38" s="4" t="s">
        <v>24</v>
      </c>
      <c r="J38" s="108">
        <v>-17466.660888024406</v>
      </c>
      <c r="K38" s="4"/>
      <c r="L38" s="4"/>
      <c r="M38" s="4" t="s">
        <v>22</v>
      </c>
      <c r="N38" s="108">
        <v>-9283.9243985535013</v>
      </c>
      <c r="Q38" s="109" t="s">
        <v>6</v>
      </c>
      <c r="R38" s="101"/>
      <c r="S38" s="110"/>
      <c r="T38" s="111">
        <f>F42</f>
        <v>-25718.941560097708</v>
      </c>
      <c r="U38" s="84"/>
      <c r="V38" s="84"/>
      <c r="W38" s="84"/>
      <c r="X38" s="84"/>
      <c r="Y38" s="84"/>
    </row>
    <row r="39" spans="1:25" s="1" customFormat="1" ht="15" customHeight="1" outlineLevel="1" x14ac:dyDescent="0.25">
      <c r="D39" s="85"/>
      <c r="E39" s="4" t="s">
        <v>19</v>
      </c>
      <c r="F39" s="108">
        <v>-12506.477398683204</v>
      </c>
      <c r="G39" s="4"/>
      <c r="H39" s="4"/>
      <c r="I39" s="4" t="s">
        <v>23</v>
      </c>
      <c r="J39" s="108">
        <v>-10074.29816499204</v>
      </c>
      <c r="K39" s="4"/>
      <c r="L39" s="4"/>
      <c r="M39" s="4" t="s">
        <v>23</v>
      </c>
      <c r="N39" s="108">
        <v>-28236.340353181407</v>
      </c>
      <c r="Q39" s="109" t="s">
        <v>7</v>
      </c>
      <c r="R39" s="101"/>
      <c r="S39" s="110"/>
      <c r="T39" s="111">
        <f>J42</f>
        <v>-23391.077545151475</v>
      </c>
      <c r="U39" s="84"/>
      <c r="V39" s="84"/>
      <c r="W39" s="84"/>
      <c r="X39" s="84"/>
      <c r="Y39" s="84"/>
    </row>
    <row r="40" spans="1:25" ht="15" customHeight="1" outlineLevel="1" x14ac:dyDescent="0.25">
      <c r="D40" s="85"/>
      <c r="E40" s="4" t="s">
        <v>4</v>
      </c>
      <c r="F40" s="108">
        <v>-5373.2419678803581</v>
      </c>
      <c r="H40" s="4"/>
      <c r="I40" s="4" t="s">
        <v>4</v>
      </c>
      <c r="J40" s="108">
        <v>-6559.1614486625213</v>
      </c>
      <c r="K40" s="4"/>
      <c r="L40" s="4"/>
      <c r="M40" s="4" t="s">
        <v>4</v>
      </c>
      <c r="N40" s="108">
        <v>-4295.2273450271314</v>
      </c>
      <c r="Q40" s="109" t="s">
        <v>9</v>
      </c>
      <c r="R40" s="101"/>
      <c r="S40" s="110"/>
      <c r="T40" s="111">
        <f>N42</f>
        <v>-20210.178568404182</v>
      </c>
      <c r="U40" s="99"/>
      <c r="V40" s="99"/>
      <c r="W40" s="99"/>
      <c r="X40" s="99"/>
      <c r="Y40" s="99"/>
    </row>
    <row r="41" spans="1:25" ht="15" customHeight="1" outlineLevel="1" x14ac:dyDescent="0.25">
      <c r="D41" s="85"/>
      <c r="E41" s="4" t="s">
        <v>1</v>
      </c>
      <c r="F41" s="10">
        <f>SUM(F37:F40)</f>
        <v>-43380.254409232846</v>
      </c>
      <c r="H41" s="8"/>
      <c r="I41" s="4" t="s">
        <v>1</v>
      </c>
      <c r="J41" s="10">
        <f>SUM(J37:J40)</f>
        <v>-47596.852686333827</v>
      </c>
      <c r="K41" s="8"/>
      <c r="L41" s="8"/>
      <c r="M41" s="4" t="s">
        <v>1</v>
      </c>
      <c r="N41" s="10">
        <f>SUM(N37:N40)</f>
        <v>-47099.263987974038</v>
      </c>
      <c r="Q41" s="112" t="s">
        <v>112</v>
      </c>
      <c r="R41" s="101"/>
      <c r="S41" s="101"/>
      <c r="T41" s="113">
        <f>SUM(T38:T40)</f>
        <v>-69320.197673653369</v>
      </c>
      <c r="U41" s="99"/>
      <c r="V41" s="99"/>
      <c r="W41" s="99"/>
      <c r="X41" s="99"/>
      <c r="Y41" s="99"/>
    </row>
    <row r="42" spans="1:25" ht="15" customHeight="1" outlineLevel="1" x14ac:dyDescent="0.25">
      <c r="B42" s="99"/>
      <c r="C42" s="99"/>
      <c r="D42" s="85"/>
      <c r="E42" s="4" t="s">
        <v>49</v>
      </c>
      <c r="F42" s="10">
        <f>F41/(1+Cost_of_Capital)^(F34-Current_Year)</f>
        <v>-25718.941560097708</v>
      </c>
      <c r="H42" s="8"/>
      <c r="I42" s="4" t="s">
        <v>49</v>
      </c>
      <c r="J42" s="10">
        <f>J41/(1+Cost_of_Capital)^(J34-Current_Year)</f>
        <v>-23391.077545151475</v>
      </c>
      <c r="K42" s="8"/>
      <c r="L42" s="8"/>
      <c r="M42" s="4" t="s">
        <v>49</v>
      </c>
      <c r="N42" s="10">
        <f>N41/(1+Cost_of_Capital)^(N34-Current_Year)</f>
        <v>-20210.178568404182</v>
      </c>
      <c r="Q42" s="114"/>
      <c r="R42" s="101"/>
      <c r="S42" s="101"/>
      <c r="T42" s="115"/>
      <c r="U42" s="99"/>
      <c r="V42" s="99"/>
      <c r="W42" s="99"/>
      <c r="X42" s="99"/>
      <c r="Y42" s="99"/>
    </row>
    <row r="43" spans="1:25" ht="15" customHeight="1" outlineLevel="1" x14ac:dyDescent="0.25">
      <c r="B43" s="99"/>
      <c r="C43" s="99"/>
      <c r="D43" s="85"/>
      <c r="E43" s="4"/>
      <c r="F43" s="10"/>
      <c r="H43" s="8"/>
      <c r="I43" s="4"/>
      <c r="J43" s="10"/>
      <c r="K43" s="8"/>
      <c r="L43" s="8"/>
      <c r="M43" s="4"/>
      <c r="N43" s="10"/>
      <c r="Q43" s="74" t="s">
        <v>111</v>
      </c>
      <c r="R43" s="102"/>
      <c r="S43" s="102"/>
      <c r="T43" s="116">
        <f ca="1">T34</f>
        <v>761240.36828889872</v>
      </c>
      <c r="U43" s="99"/>
      <c r="V43" s="99"/>
      <c r="W43" s="99"/>
      <c r="X43" s="99"/>
      <c r="Y43" s="99"/>
    </row>
    <row r="44" spans="1:25" ht="15" customHeight="1" x14ac:dyDescent="0.25">
      <c r="B44" s="83" t="s">
        <v>142</v>
      </c>
      <c r="C44" s="99"/>
      <c r="D44" s="85"/>
      <c r="U44" s="99"/>
      <c r="V44" s="99"/>
      <c r="W44" s="99"/>
      <c r="X44" s="99"/>
      <c r="Y44" s="99"/>
    </row>
    <row r="45" spans="1:25" ht="15" customHeight="1" x14ac:dyDescent="0.25">
      <c r="B45" s="99"/>
      <c r="C45" s="99"/>
      <c r="D45" s="85"/>
      <c r="E45" s="23" t="s">
        <v>63</v>
      </c>
      <c r="F45" s="117"/>
      <c r="H45" s="8"/>
      <c r="I45" s="23" t="s">
        <v>63</v>
      </c>
      <c r="J45" s="117"/>
      <c r="K45" s="8"/>
      <c r="L45" s="8"/>
      <c r="M45" s="23" t="s">
        <v>63</v>
      </c>
      <c r="N45" s="117"/>
      <c r="U45" s="99"/>
      <c r="V45" s="99"/>
      <c r="W45" s="99"/>
      <c r="X45" s="99"/>
      <c r="Y45" s="99"/>
    </row>
    <row r="46" spans="1:25" ht="15" customHeight="1" outlineLevel="1" x14ac:dyDescent="0.25">
      <c r="B46" s="99"/>
      <c r="C46" s="99"/>
      <c r="D46" s="85"/>
      <c r="E46" s="4" t="s">
        <v>29</v>
      </c>
      <c r="F46" s="118">
        <v>4.6129241022781793</v>
      </c>
      <c r="H46" s="8"/>
      <c r="I46" s="4" t="s">
        <v>29</v>
      </c>
      <c r="J46" s="118">
        <v>1.6556740812387267</v>
      </c>
      <c r="K46" s="8"/>
      <c r="L46" s="8"/>
      <c r="M46" s="4" t="s">
        <v>29</v>
      </c>
      <c r="N46" s="118">
        <v>1.1970404145448803</v>
      </c>
      <c r="U46" s="99"/>
      <c r="V46" s="99"/>
      <c r="W46" s="99"/>
      <c r="X46" s="99"/>
      <c r="Y46" s="99"/>
    </row>
    <row r="47" spans="1:25" ht="15" customHeight="1" outlineLevel="1" x14ac:dyDescent="0.25">
      <c r="B47" s="99"/>
      <c r="C47" s="99"/>
      <c r="D47" s="85"/>
      <c r="E47" s="4" t="s">
        <v>26</v>
      </c>
      <c r="F47" s="207">
        <v>1</v>
      </c>
      <c r="H47" s="8"/>
      <c r="I47" s="4" t="s">
        <v>26</v>
      </c>
      <c r="J47" s="207">
        <v>1</v>
      </c>
      <c r="K47" s="8"/>
      <c r="L47" s="8"/>
      <c r="M47" s="4" t="s">
        <v>26</v>
      </c>
      <c r="N47" s="207">
        <v>0.5</v>
      </c>
      <c r="U47" s="99"/>
      <c r="V47" s="99"/>
      <c r="W47" s="99"/>
      <c r="X47" s="99"/>
      <c r="Y47" s="99"/>
    </row>
    <row r="48" spans="1:25" ht="15" customHeight="1" outlineLevel="1" x14ac:dyDescent="0.25">
      <c r="B48" s="99"/>
      <c r="C48" s="99"/>
      <c r="D48" s="85"/>
      <c r="E48" s="4" t="s">
        <v>27</v>
      </c>
      <c r="F48" s="207">
        <v>4</v>
      </c>
      <c r="H48" s="8"/>
      <c r="I48" s="4" t="s">
        <v>27</v>
      </c>
      <c r="J48" s="207">
        <v>2</v>
      </c>
      <c r="K48" s="8"/>
      <c r="L48" s="8"/>
      <c r="M48" s="4" t="s">
        <v>27</v>
      </c>
      <c r="N48" s="207">
        <v>1</v>
      </c>
      <c r="U48" s="99"/>
      <c r="V48" s="99"/>
      <c r="W48" s="99"/>
      <c r="X48" s="99"/>
      <c r="Y48" s="99"/>
    </row>
    <row r="49" spans="1:25" ht="15" customHeight="1" outlineLevel="1" x14ac:dyDescent="0.25">
      <c r="B49" s="99"/>
      <c r="C49" s="99"/>
      <c r="D49" s="85"/>
      <c r="E49" s="4" t="s">
        <v>28</v>
      </c>
      <c r="F49" s="207">
        <v>7</v>
      </c>
      <c r="H49" s="8"/>
      <c r="I49" s="4" t="s">
        <v>28</v>
      </c>
      <c r="J49" s="207">
        <v>3</v>
      </c>
      <c r="K49" s="8"/>
      <c r="L49" s="8"/>
      <c r="M49" s="4" t="s">
        <v>28</v>
      </c>
      <c r="N49" s="207">
        <v>1.5</v>
      </c>
      <c r="U49" s="99"/>
      <c r="V49" s="99"/>
      <c r="W49" s="99"/>
      <c r="X49" s="99"/>
      <c r="Y49" s="99"/>
    </row>
    <row r="50" spans="1:25" ht="15" customHeight="1" x14ac:dyDescent="0.25">
      <c r="B50" s="83" t="s">
        <v>142</v>
      </c>
      <c r="C50" s="99"/>
      <c r="D50" s="86"/>
      <c r="U50" s="99"/>
      <c r="V50" s="99"/>
      <c r="W50" s="99"/>
      <c r="X50" s="99"/>
      <c r="Y50" s="99"/>
    </row>
    <row r="51" spans="1:25" ht="15" customHeight="1" x14ac:dyDescent="0.25">
      <c r="B51" s="99"/>
      <c r="C51" s="99"/>
      <c r="D51" s="86"/>
      <c r="E51" s="23" t="s">
        <v>65</v>
      </c>
      <c r="F51" s="4"/>
      <c r="H51" s="8"/>
      <c r="I51" s="23" t="s">
        <v>65</v>
      </c>
      <c r="K51" s="8"/>
      <c r="L51" s="8"/>
      <c r="M51" s="23" t="s">
        <v>65</v>
      </c>
      <c r="N51" s="4"/>
      <c r="U51" s="99"/>
      <c r="V51" s="99"/>
      <c r="W51" s="99"/>
      <c r="X51" s="99"/>
      <c r="Y51" s="99"/>
    </row>
    <row r="52" spans="1:25" ht="15" customHeight="1" outlineLevel="1" x14ac:dyDescent="0.25">
      <c r="B52" s="99"/>
      <c r="C52" s="99"/>
      <c r="D52" s="86"/>
      <c r="E52" s="4" t="s">
        <v>29</v>
      </c>
      <c r="F52" s="25">
        <f ca="1">IF(Current_Year&gt;=F34,1,_xll.CB.Triangular(F54,F55,F56))</f>
        <v>0.72607801397863148</v>
      </c>
      <c r="H52" s="8"/>
      <c r="I52" s="4" t="s">
        <v>29</v>
      </c>
      <c r="J52" s="25">
        <f ca="1">IF(Current_Year&gt;=J34,1,_xll.CB.Triangular(J54,J55,J56))</f>
        <v>0.90990512344828911</v>
      </c>
      <c r="K52" s="8"/>
      <c r="L52" s="8"/>
      <c r="M52" s="4" t="s">
        <v>29</v>
      </c>
      <c r="N52" s="25">
        <f ca="1">IF(Current_Year&gt;=N34,1,_xll.CB.Triangular(N54,N55,N56))</f>
        <v>0.88800097124510347</v>
      </c>
      <c r="U52" s="99"/>
      <c r="V52" s="99"/>
      <c r="W52" s="99"/>
      <c r="X52" s="99"/>
      <c r="Y52" s="99"/>
    </row>
    <row r="53" spans="1:25" ht="15" customHeight="1" outlineLevel="1" x14ac:dyDescent="0.25">
      <c r="A53" s="1" t="s">
        <v>3</v>
      </c>
      <c r="B53" s="99"/>
      <c r="C53" s="99"/>
      <c r="D53" s="86"/>
      <c r="E53" s="4" t="s">
        <v>6</v>
      </c>
      <c r="F53" s="119">
        <f ca="1">(1-'Decision Tree'!F52)</f>
        <v>0.27392198602136852</v>
      </c>
      <c r="H53" s="8"/>
      <c r="I53" s="4" t="s">
        <v>7</v>
      </c>
      <c r="J53" s="25">
        <f ca="1">(1-'Decision Tree'!J52)*'Decision Tree'!F52</f>
        <v>6.5415909036316222E-2</v>
      </c>
      <c r="K53" s="8"/>
      <c r="L53" s="8"/>
      <c r="M53" s="4" t="s">
        <v>9</v>
      </c>
      <c r="N53" s="25">
        <f ca="1">(1-'Decision Tree'!N52)*'Decision Tree'!J52*'Decision Tree'!F52</f>
        <v>7.3993514088704831E-2</v>
      </c>
      <c r="U53" s="99"/>
      <c r="V53" s="99"/>
      <c r="W53" s="99"/>
      <c r="X53" s="99"/>
      <c r="Y53" s="99"/>
    </row>
    <row r="54" spans="1:25" outlineLevel="1" x14ac:dyDescent="0.25">
      <c r="A54" s="1" t="s">
        <v>3</v>
      </c>
      <c r="B54" s="99"/>
      <c r="C54" s="99"/>
      <c r="D54" s="86"/>
      <c r="E54" s="4" t="s">
        <v>26</v>
      </c>
      <c r="F54" s="25">
        <v>0.7</v>
      </c>
      <c r="H54" s="8"/>
      <c r="I54" s="4" t="s">
        <v>26</v>
      </c>
      <c r="J54" s="25">
        <v>0.8</v>
      </c>
      <c r="K54" s="8"/>
      <c r="L54" s="8"/>
      <c r="M54" s="4" t="s">
        <v>26</v>
      </c>
      <c r="N54" s="25">
        <v>0.85</v>
      </c>
      <c r="U54" s="99"/>
      <c r="V54" s="99"/>
      <c r="W54" s="99"/>
      <c r="X54" s="99"/>
      <c r="Y54" s="99"/>
    </row>
    <row r="55" spans="1:25" outlineLevel="1" x14ac:dyDescent="0.25">
      <c r="A55" s="1" t="s">
        <v>3</v>
      </c>
      <c r="B55" s="99"/>
      <c r="C55" s="99"/>
      <c r="D55" s="86"/>
      <c r="E55" s="4" t="s">
        <v>27</v>
      </c>
      <c r="F55" s="25">
        <v>0.75</v>
      </c>
      <c r="H55" s="8"/>
      <c r="I55" s="4" t="s">
        <v>27</v>
      </c>
      <c r="J55" s="25">
        <v>0.87</v>
      </c>
      <c r="K55" s="8"/>
      <c r="L55" s="8"/>
      <c r="M55" s="4" t="s">
        <v>27</v>
      </c>
      <c r="N55" s="25">
        <v>0.89</v>
      </c>
      <c r="U55" s="99"/>
      <c r="V55" s="99"/>
      <c r="W55" s="99"/>
      <c r="X55" s="99"/>
      <c r="Y55" s="99"/>
    </row>
    <row r="56" spans="1:25" outlineLevel="1" x14ac:dyDescent="0.25">
      <c r="A56" s="1" t="s">
        <v>3</v>
      </c>
      <c r="B56" s="99"/>
      <c r="C56" s="99"/>
      <c r="D56" s="85"/>
      <c r="E56" s="4" t="s">
        <v>28</v>
      </c>
      <c r="F56" s="25">
        <v>0.8</v>
      </c>
      <c r="H56" s="8"/>
      <c r="I56" s="4" t="s">
        <v>28</v>
      </c>
      <c r="J56" s="25">
        <v>0.94</v>
      </c>
      <c r="K56" s="8"/>
      <c r="L56" s="8"/>
      <c r="M56" s="4" t="s">
        <v>28</v>
      </c>
      <c r="N56" s="25">
        <v>0.95</v>
      </c>
      <c r="U56" s="99"/>
      <c r="V56" s="99"/>
      <c r="W56" s="99"/>
      <c r="X56" s="99"/>
      <c r="Y56" s="99"/>
    </row>
    <row r="57" spans="1:25" x14ac:dyDescent="0.25">
      <c r="A57" s="1" t="s">
        <v>3</v>
      </c>
      <c r="B57" s="83" t="s">
        <v>142</v>
      </c>
      <c r="C57" s="99"/>
      <c r="D57" s="85"/>
      <c r="E57" s="4"/>
      <c r="F57" s="4"/>
      <c r="H57" s="8"/>
      <c r="I57" s="4"/>
      <c r="K57" s="8"/>
      <c r="L57" s="8"/>
      <c r="M57" s="4"/>
      <c r="N57" s="4"/>
      <c r="U57" s="99"/>
      <c r="V57" s="99"/>
      <c r="W57" s="99"/>
      <c r="X57" s="99"/>
      <c r="Y57" s="99"/>
    </row>
    <row r="58" spans="1:25" x14ac:dyDescent="0.25">
      <c r="A58" s="1" t="s">
        <v>67</v>
      </c>
      <c r="B58" s="99"/>
      <c r="C58" s="99"/>
      <c r="D58" s="85" t="s">
        <v>3</v>
      </c>
      <c r="E58" s="120" t="s">
        <v>61</v>
      </c>
      <c r="F58" s="121">
        <f>F34</f>
        <v>4.6129241022781793</v>
      </c>
      <c r="H58" s="8"/>
      <c r="I58" s="120" t="s">
        <v>61</v>
      </c>
      <c r="J58" s="121">
        <f>J34</f>
        <v>6.2685981835169056</v>
      </c>
      <c r="K58" s="8"/>
      <c r="L58" s="8"/>
      <c r="M58" s="120" t="s">
        <v>61</v>
      </c>
      <c r="N58" s="120">
        <f>N34</f>
        <v>7.4656385980617861</v>
      </c>
      <c r="U58" s="99"/>
      <c r="V58" s="99"/>
      <c r="W58" s="99"/>
      <c r="X58" s="99"/>
      <c r="Y58" s="99"/>
    </row>
    <row r="59" spans="1:25" x14ac:dyDescent="0.25">
      <c r="B59" s="99"/>
      <c r="C59" s="99"/>
      <c r="D59" s="85"/>
      <c r="E59" s="8"/>
      <c r="F59" s="4"/>
      <c r="H59" s="8"/>
      <c r="I59" s="4"/>
      <c r="K59" s="8"/>
      <c r="L59" s="8"/>
      <c r="M59" s="4"/>
      <c r="N59" s="4"/>
      <c r="U59" s="99"/>
      <c r="V59" s="99"/>
      <c r="W59" s="99"/>
      <c r="X59" s="99"/>
      <c r="Y59" s="99"/>
    </row>
    <row r="60" spans="1:25" x14ac:dyDescent="0.25">
      <c r="B60" s="99"/>
      <c r="C60" s="99"/>
      <c r="D60" s="85"/>
      <c r="E60" s="122" t="s">
        <v>115</v>
      </c>
      <c r="F60" s="8"/>
      <c r="H60" s="8"/>
      <c r="I60" s="8"/>
      <c r="J60" s="8"/>
      <c r="K60" s="8"/>
      <c r="L60" s="8"/>
      <c r="M60" s="8"/>
      <c r="N60" s="8"/>
      <c r="U60" s="99"/>
      <c r="V60" s="99"/>
      <c r="W60" s="99"/>
      <c r="X60" s="99"/>
      <c r="Y60" s="99"/>
    </row>
    <row r="61" spans="1:25" s="1" customFormat="1" outlineLevel="1" x14ac:dyDescent="0.25">
      <c r="D61" s="4"/>
      <c r="E61" s="8" t="s">
        <v>15</v>
      </c>
      <c r="F61" s="8" t="str">
        <f>IF($C$6&gt;=F$34, "Sunk", " ")</f>
        <v xml:space="preserve"> </v>
      </c>
      <c r="G61" s="4"/>
      <c r="H61" s="8"/>
      <c r="I61" s="8" t="s">
        <v>15</v>
      </c>
      <c r="J61" s="8" t="str">
        <f>IF($C$6&gt;=J$34, "Sunk", " ")</f>
        <v xml:space="preserve"> </v>
      </c>
      <c r="K61" s="8"/>
      <c r="L61" s="8"/>
      <c r="M61" s="8" t="s">
        <v>15</v>
      </c>
      <c r="N61" s="8" t="str">
        <f>IF($C$6&gt;=N$34, "Sunk", " ")</f>
        <v xml:space="preserve"> </v>
      </c>
    </row>
    <row r="62" spans="1:25" outlineLevel="1" x14ac:dyDescent="0.25">
      <c r="A62" s="24"/>
      <c r="D62" s="24"/>
      <c r="E62" s="8" t="s">
        <v>62</v>
      </c>
      <c r="F62" s="206">
        <f>F46</f>
        <v>4.6129241022781793</v>
      </c>
      <c r="H62" s="8"/>
      <c r="I62" s="8" t="s">
        <v>62</v>
      </c>
      <c r="J62" s="206">
        <f>J46</f>
        <v>1.6556740812387267</v>
      </c>
      <c r="K62" s="8"/>
      <c r="L62" s="8"/>
      <c r="M62" s="8" t="s">
        <v>62</v>
      </c>
      <c r="N62" s="206">
        <f>N46</f>
        <v>1.1970404145448803</v>
      </c>
    </row>
    <row r="63" spans="1:25" s="1" customFormat="1" outlineLevel="1" x14ac:dyDescent="0.25">
      <c r="D63" s="4"/>
      <c r="E63" s="8" t="s">
        <v>64</v>
      </c>
      <c r="F63" s="206">
        <f ca="1">F52</f>
        <v>0.72607801397863148</v>
      </c>
      <c r="G63" s="4"/>
      <c r="H63" s="8"/>
      <c r="I63" s="8" t="s">
        <v>64</v>
      </c>
      <c r="J63" s="206">
        <f ca="1">J52</f>
        <v>0.90990512344828911</v>
      </c>
      <c r="K63" s="8"/>
      <c r="L63" s="8"/>
      <c r="M63" s="8" t="s">
        <v>64</v>
      </c>
      <c r="N63" s="206">
        <f ca="1">N52</f>
        <v>0.88800097124510347</v>
      </c>
    </row>
    <row r="64" spans="1:25" x14ac:dyDescent="0.25">
      <c r="B64" s="83" t="s">
        <v>142</v>
      </c>
      <c r="D64"/>
      <c r="G64"/>
      <c r="J64" s="25"/>
    </row>
    <row r="65" spans="4:10" x14ac:dyDescent="0.25">
      <c r="D65"/>
      <c r="G65"/>
      <c r="J65" s="26"/>
    </row>
    <row r="66" spans="4:10" x14ac:dyDescent="0.25">
      <c r="D66"/>
      <c r="G66"/>
      <c r="J66" s="5"/>
    </row>
    <row r="67" spans="4:10" x14ac:dyDescent="0.25">
      <c r="D67"/>
      <c r="G67"/>
      <c r="J67" s="26"/>
    </row>
    <row r="68" spans="4:10" s="1" customFormat="1" x14ac:dyDescent="0.25">
      <c r="D68" s="4"/>
      <c r="G68" s="4"/>
      <c r="J68" s="4"/>
    </row>
    <row r="70" spans="4:10" x14ac:dyDescent="0.25">
      <c r="D70" s="7"/>
      <c r="G70" s="7"/>
      <c r="J70" s="7"/>
    </row>
    <row r="71" spans="4:10" x14ac:dyDescent="0.25">
      <c r="D71" s="7"/>
      <c r="G71" s="7"/>
      <c r="J71" s="7"/>
    </row>
    <row r="72" spans="4:10" x14ac:dyDescent="0.25">
      <c r="D72" s="7"/>
      <c r="G72" s="7"/>
      <c r="J72" s="7"/>
    </row>
    <row r="73" spans="4:10" x14ac:dyDescent="0.25">
      <c r="D73" s="7"/>
      <c r="G73" s="7"/>
      <c r="J73" s="7"/>
    </row>
    <row r="74" spans="4:10" x14ac:dyDescent="0.25">
      <c r="D74" s="7"/>
      <c r="G74" s="7"/>
      <c r="J74" s="7"/>
    </row>
    <row r="75" spans="4:10" x14ac:dyDescent="0.25">
      <c r="D75" s="7"/>
      <c r="G75" s="7"/>
      <c r="J75" s="7"/>
    </row>
    <row r="76" spans="4:10" x14ac:dyDescent="0.25">
      <c r="D76" s="7"/>
      <c r="G76" s="7"/>
      <c r="J76" s="7"/>
    </row>
    <row r="77" spans="4:10" x14ac:dyDescent="0.25">
      <c r="D77" s="7"/>
      <c r="G77" s="7"/>
      <c r="J77" s="7"/>
    </row>
    <row r="78" spans="4:10" x14ac:dyDescent="0.25">
      <c r="D78" s="7"/>
      <c r="G78" s="7"/>
      <c r="J78" s="7"/>
    </row>
    <row r="79" spans="4:10" x14ac:dyDescent="0.25">
      <c r="D79" s="7"/>
      <c r="G79" s="7"/>
      <c r="J79" s="7"/>
    </row>
    <row r="80" spans="4:10" x14ac:dyDescent="0.25">
      <c r="D80" s="7"/>
      <c r="G80" s="7"/>
      <c r="J80" s="7"/>
    </row>
    <row r="81" spans="4:10" x14ac:dyDescent="0.25">
      <c r="D81" s="7"/>
      <c r="G81" s="7"/>
      <c r="J81" s="7"/>
    </row>
    <row r="82" spans="4:10" x14ac:dyDescent="0.25">
      <c r="D82" s="7"/>
      <c r="G82" s="7"/>
      <c r="J82" s="7"/>
    </row>
    <row r="83" spans="4:10" x14ac:dyDescent="0.25">
      <c r="D83" s="7"/>
      <c r="G83" s="7"/>
      <c r="J83" s="7"/>
    </row>
    <row r="84" spans="4:10" x14ac:dyDescent="0.25">
      <c r="D84" s="7"/>
      <c r="G84" s="7"/>
      <c r="J84" s="7"/>
    </row>
    <row r="85" spans="4:10" x14ac:dyDescent="0.25">
      <c r="D85" s="7"/>
      <c r="G85" s="7"/>
      <c r="J85" s="7"/>
    </row>
    <row r="86" spans="4:10" x14ac:dyDescent="0.25">
      <c r="D86" s="7"/>
      <c r="G86" s="7"/>
      <c r="J86" s="7"/>
    </row>
    <row r="87" spans="4:10" x14ac:dyDescent="0.25">
      <c r="D87" s="7"/>
      <c r="G87" s="7"/>
      <c r="J87" s="7"/>
    </row>
    <row r="88" spans="4:10" x14ac:dyDescent="0.25">
      <c r="D88" s="7"/>
      <c r="G88" s="7"/>
      <c r="J88" s="7"/>
    </row>
    <row r="89" spans="4:10" x14ac:dyDescent="0.25">
      <c r="D89" s="7"/>
      <c r="G89" s="7"/>
      <c r="J89" s="7"/>
    </row>
    <row r="90" spans="4:10" x14ac:dyDescent="0.25">
      <c r="D90" s="7"/>
      <c r="G90" s="7"/>
      <c r="J90" s="7"/>
    </row>
    <row r="91" spans="4:10" x14ac:dyDescent="0.25">
      <c r="D91" s="7"/>
      <c r="G91" s="7"/>
      <c r="J91" s="7"/>
    </row>
    <row r="92" spans="4:10" x14ac:dyDescent="0.25">
      <c r="D92" s="7"/>
      <c r="G92" s="7"/>
      <c r="J92" s="7"/>
    </row>
    <row r="93" spans="4:10" x14ac:dyDescent="0.25">
      <c r="D93" s="7"/>
      <c r="G93" s="7"/>
      <c r="J93" s="7"/>
    </row>
    <row r="94" spans="4:10" x14ac:dyDescent="0.25">
      <c r="D94" s="7"/>
      <c r="G94" s="7"/>
      <c r="J94" s="7"/>
    </row>
    <row r="95" spans="4:10" x14ac:dyDescent="0.25">
      <c r="D95" s="7"/>
      <c r="G95" s="7"/>
      <c r="J95" s="7"/>
    </row>
    <row r="96" spans="4:10" x14ac:dyDescent="0.25">
      <c r="D96" s="7"/>
      <c r="G96" s="7"/>
      <c r="J96" s="7"/>
    </row>
    <row r="97" spans="4:10" x14ac:dyDescent="0.25">
      <c r="D97" s="7"/>
      <c r="G97" s="7"/>
      <c r="J97" s="7"/>
    </row>
  </sheetData>
  <mergeCells count="8">
    <mergeCell ref="Q4:S4"/>
    <mergeCell ref="Q32:S32"/>
    <mergeCell ref="E32:F32"/>
    <mergeCell ref="I32:J32"/>
    <mergeCell ref="M32:N32"/>
    <mergeCell ref="I4:J4"/>
    <mergeCell ref="M4:N4"/>
    <mergeCell ref="E4:F4"/>
  </mergeCells>
  <phoneticPr fontId="0" type="noConversion"/>
  <conditionalFormatting sqref="E58:F58 E54:F56 E32 E33:F34 E36:F43 E45:F49 E51:F52">
    <cfRule type="expression" dxfId="21" priority="17" stopIfTrue="1">
      <formula>Current_Year&gt;=$F$34</formula>
    </cfRule>
  </conditionalFormatting>
  <conditionalFormatting sqref="J58 I54:J56 I33:J34 I36:J43 I45:J46 I51:J52 I47:I49">
    <cfRule type="expression" dxfId="20" priority="18" stopIfTrue="1">
      <formula>Current_Year&gt;=$J$34</formula>
    </cfRule>
  </conditionalFormatting>
  <conditionalFormatting sqref="N58 M54:N56 M33:N34 M36:N43 M45:N46 M51:N52 M47:M49">
    <cfRule type="expression" dxfId="19" priority="19" stopIfTrue="1">
      <formula>Current_Year&gt;=$N$34</formula>
    </cfRule>
  </conditionalFormatting>
  <conditionalFormatting sqref="D62">
    <cfRule type="expression" dxfId="18" priority="34" stopIfTrue="1">
      <formula>Current_Year&gt;=$J$34</formula>
    </cfRule>
  </conditionalFormatting>
  <conditionalFormatting sqref="A62">
    <cfRule type="expression" dxfId="17" priority="39" stopIfTrue="1">
      <formula>Current_Year&gt;=$F$34</formula>
    </cfRule>
  </conditionalFormatting>
  <conditionalFormatting sqref="I32">
    <cfRule type="expression" dxfId="16" priority="7" stopIfTrue="1">
      <formula>Current_Year&gt;=$F$34</formula>
    </cfRule>
  </conditionalFormatting>
  <conditionalFormatting sqref="M32">
    <cfRule type="expression" dxfId="15" priority="6" stopIfTrue="1">
      <formula>Current_Year&gt;=$F$34</formula>
    </cfRule>
  </conditionalFormatting>
  <conditionalFormatting sqref="I58">
    <cfRule type="expression" dxfId="14" priority="5" stopIfTrue="1">
      <formula>Current_Year&gt;=$F$34</formula>
    </cfRule>
  </conditionalFormatting>
  <conditionalFormatting sqref="M58">
    <cfRule type="expression" dxfId="13" priority="4" stopIfTrue="1">
      <formula>Current_Year&gt;=$F$34</formula>
    </cfRule>
  </conditionalFormatting>
  <conditionalFormatting sqref="M15 Q10 Q5 M7 I11 I20 E15 E25">
    <cfRule type="cellIs" dxfId="12" priority="3" operator="equal">
      <formula>0</formula>
    </cfRule>
  </conditionalFormatting>
  <conditionalFormatting sqref="U36:W36">
    <cfRule type="expression" dxfId="11" priority="40" stopIfTrue="1">
      <formula>#REF!=1</formula>
    </cfRule>
  </conditionalFormatting>
  <conditionalFormatting sqref="J47:J49">
    <cfRule type="expression" dxfId="10" priority="2" stopIfTrue="1">
      <formula>Current_Year&gt;=$F$34</formula>
    </cfRule>
  </conditionalFormatting>
  <conditionalFormatting sqref="N47:N49">
    <cfRule type="expression" dxfId="9" priority="1" stopIfTrue="1">
      <formula>Current_Year&gt;=$F$34</formula>
    </cfRule>
  </conditionalFormatting>
  <hyperlinks>
    <hyperlink ref="M1" location="Description!A1" display="Learn about model"/>
    <hyperlink ref="I1" location="'Discounted Cashflow'!A1" display="Discounted Cashflow"/>
  </hyperlink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8"/>
  <sheetViews>
    <sheetView showGridLines="0" zoomScaleNormal="100" workbookViewId="0"/>
  </sheetViews>
  <sheetFormatPr defaultRowHeight="15" outlineLevelRow="1" outlineLevelCol="1" x14ac:dyDescent="0.25"/>
  <cols>
    <col min="1" max="1" width="8.140625" style="1" customWidth="1"/>
    <col min="2" max="2" width="30.7109375" style="7" customWidth="1"/>
    <col min="3" max="3" width="13.5703125" style="7" customWidth="1"/>
    <col min="4" max="7" width="12.7109375" style="7" customWidth="1"/>
    <col min="8" max="8" width="16.140625" style="7" customWidth="1"/>
    <col min="9" max="9" width="18.28515625" style="7" customWidth="1"/>
    <col min="10" max="10" width="14.28515625" style="7" customWidth="1"/>
    <col min="11" max="11" width="15.7109375" style="7" bestFit="1" customWidth="1"/>
    <col min="12" max="12" width="12.7109375" style="7" customWidth="1"/>
    <col min="13" max="14" width="12.7109375" style="7" customWidth="1" outlineLevel="1"/>
    <col min="15" max="15" width="14.7109375" style="7" customWidth="1" outlineLevel="1"/>
    <col min="16" max="16" width="12.7109375" style="7" customWidth="1" outlineLevel="1"/>
    <col min="17" max="27" width="12.28515625" style="1" customWidth="1" outlineLevel="1"/>
    <col min="28" max="16384" width="9.140625" style="7"/>
  </cols>
  <sheetData>
    <row r="1" spans="1:33" s="1" customFormat="1" ht="22.5" x14ac:dyDescent="0.3">
      <c r="A1" s="19"/>
      <c r="B1" s="20" t="s">
        <v>147</v>
      </c>
      <c r="C1" s="61"/>
      <c r="D1" s="61"/>
      <c r="G1" s="34"/>
      <c r="H1" s="34"/>
      <c r="I1" s="34" t="s">
        <v>146</v>
      </c>
      <c r="K1" s="33"/>
      <c r="AB1" s="81" t="s">
        <v>108</v>
      </c>
    </row>
    <row r="2" spans="1:33" s="1" customFormat="1" ht="16.5" customHeight="1" x14ac:dyDescent="0.25">
      <c r="C2" s="2"/>
      <c r="AB2" s="65" t="s">
        <v>137</v>
      </c>
    </row>
    <row r="3" spans="1:33" s="1" customFormat="1" x14ac:dyDescent="0.25">
      <c r="B3" s="61" t="s">
        <v>134</v>
      </c>
      <c r="C3" s="2"/>
      <c r="D3" s="65" t="s">
        <v>106</v>
      </c>
      <c r="E3" s="65" t="s">
        <v>107</v>
      </c>
      <c r="F3"/>
      <c r="G3"/>
      <c r="I3" s="152" t="s">
        <v>60</v>
      </c>
      <c r="N3" s="61" t="s">
        <v>129</v>
      </c>
    </row>
    <row r="4" spans="1:33" s="1" customFormat="1" ht="20.25" customHeight="1" x14ac:dyDescent="0.25">
      <c r="B4" s="69" t="s">
        <v>30</v>
      </c>
      <c r="C4" s="70">
        <v>0</v>
      </c>
      <c r="D4" s="76"/>
      <c r="E4" s="77"/>
      <c r="F4" s="188"/>
      <c r="G4" s="204" t="s">
        <v>161</v>
      </c>
      <c r="I4" s="159" t="s">
        <v>97</v>
      </c>
      <c r="J4" s="164" t="s">
        <v>98</v>
      </c>
      <c r="K4" s="165" t="s">
        <v>99</v>
      </c>
      <c r="L4" s="166" t="s">
        <v>100</v>
      </c>
      <c r="N4" s="173" t="s">
        <v>123</v>
      </c>
      <c r="O4" s="219" t="s">
        <v>124</v>
      </c>
      <c r="P4" s="219"/>
      <c r="Q4" s="174" t="s">
        <v>127</v>
      </c>
      <c r="R4" s="4"/>
      <c r="S4" s="4"/>
      <c r="T4" s="4"/>
      <c r="U4" s="4"/>
      <c r="V4" s="4"/>
      <c r="W4" s="4"/>
      <c r="X4" s="4"/>
      <c r="Y4" s="4"/>
      <c r="Z4" s="4"/>
      <c r="AA4" s="4"/>
    </row>
    <row r="5" spans="1:33" s="1" customFormat="1" x14ac:dyDescent="0.25">
      <c r="B5" s="60" t="s">
        <v>34</v>
      </c>
      <c r="C5" s="5">
        <v>0</v>
      </c>
      <c r="D5" s="78"/>
      <c r="E5" s="79"/>
      <c r="F5" s="59"/>
      <c r="G5" s="4"/>
      <c r="I5" s="52" t="s">
        <v>12</v>
      </c>
      <c r="J5" s="5">
        <f>'Decision Tree'!F34</f>
        <v>4.6129241022781793</v>
      </c>
      <c r="K5" s="5">
        <f>'Decision Tree'!J34</f>
        <v>6.2685981835169056</v>
      </c>
      <c r="L5" s="50">
        <f>'Decision Tree'!N34</f>
        <v>7.4656385980617861</v>
      </c>
      <c r="N5" s="184">
        <v>1</v>
      </c>
      <c r="O5" s="185">
        <v>23</v>
      </c>
      <c r="P5" s="186">
        <v>26</v>
      </c>
      <c r="Q5" s="172">
        <f>IF((AND($H$15&gt;=O5,$H$15&lt;=P5)),1,0)</f>
        <v>1</v>
      </c>
      <c r="R5" s="4"/>
      <c r="S5" s="4"/>
      <c r="T5" s="4"/>
      <c r="U5" s="4"/>
      <c r="V5" s="4"/>
      <c r="W5" s="4"/>
      <c r="X5" s="4"/>
      <c r="Y5" s="4"/>
      <c r="Z5" s="4"/>
      <c r="AA5" s="4"/>
    </row>
    <row r="6" spans="1:33" s="1" customFormat="1" x14ac:dyDescent="0.25">
      <c r="B6" s="60" t="s">
        <v>35</v>
      </c>
      <c r="C6" s="5">
        <f>'Decision Tree'!N34+1</f>
        <v>8.465638598061787</v>
      </c>
      <c r="D6" s="80"/>
      <c r="E6" s="79"/>
      <c r="F6" s="59"/>
      <c r="G6" s="4"/>
      <c r="I6" s="52" t="s">
        <v>102</v>
      </c>
      <c r="J6" s="6">
        <f ca="1">'Decision Tree'!F52</f>
        <v>0.72607801397863148</v>
      </c>
      <c r="K6" s="6">
        <f ca="1">'Decision Tree'!J52</f>
        <v>0.90990512344828911</v>
      </c>
      <c r="L6" s="51">
        <f ca="1">'Decision Tree'!N52</f>
        <v>0.88800097124510347</v>
      </c>
      <c r="N6" s="184">
        <v>0.95</v>
      </c>
      <c r="O6" s="185">
        <v>26</v>
      </c>
      <c r="P6" s="186">
        <v>29</v>
      </c>
      <c r="Q6" s="172">
        <f>IF((AND($H$15&gt;=O6,$H$15&lt;=P6)),1,0)</f>
        <v>1</v>
      </c>
      <c r="R6" s="4"/>
      <c r="S6" s="4"/>
      <c r="T6" s="4"/>
      <c r="U6" s="4"/>
      <c r="V6" s="4"/>
      <c r="W6" s="4"/>
      <c r="X6" s="4"/>
      <c r="Y6" s="4"/>
      <c r="Z6" s="4"/>
      <c r="AA6" s="4"/>
    </row>
    <row r="7" spans="1:33" s="1" customFormat="1" x14ac:dyDescent="0.25">
      <c r="B7" s="59" t="s">
        <v>37</v>
      </c>
      <c r="C7" s="66">
        <v>2</v>
      </c>
      <c r="D7" s="160"/>
      <c r="E7" s="161"/>
      <c r="G7" s="178">
        <v>2</v>
      </c>
      <c r="I7" s="52" t="s">
        <v>15</v>
      </c>
      <c r="J7" s="54">
        <f>IF(Current_Year&gt;'Decision Tree'!F34,"Sunk",'Decision Tree'!F41)</f>
        <v>-43380.254409232846</v>
      </c>
      <c r="K7" s="54">
        <f>IF(Current_Year&gt;'Decision Tree'!J34,"Sunk",'Decision Tree'!J41)</f>
        <v>-47596.852686333827</v>
      </c>
      <c r="L7" s="55">
        <f>IF(Current_Year&gt;'Decision Tree'!N34,"Sunk",'Decision Tree'!N41)</f>
        <v>-47099.263987974038</v>
      </c>
      <c r="N7" s="184">
        <v>0.75</v>
      </c>
      <c r="O7" s="185">
        <v>29</v>
      </c>
      <c r="P7" s="186">
        <v>32</v>
      </c>
      <c r="Q7" s="172">
        <f>IF((AND($H$15&gt;=O7,$H$15&lt;=P7)),1,0)</f>
        <v>0</v>
      </c>
      <c r="R7" s="4"/>
      <c r="S7" s="4"/>
      <c r="T7" s="4"/>
      <c r="U7" s="4"/>
      <c r="V7" s="4"/>
      <c r="W7" s="4"/>
      <c r="X7" s="4"/>
      <c r="Y7" s="4"/>
      <c r="Z7" s="4"/>
      <c r="AA7" s="4"/>
    </row>
    <row r="8" spans="1:33" s="1" customFormat="1" ht="15" customHeight="1" x14ac:dyDescent="0.25">
      <c r="B8" s="62" t="s">
        <v>38</v>
      </c>
      <c r="C8" s="67">
        <v>50000000</v>
      </c>
      <c r="D8" s="162">
        <v>50000000</v>
      </c>
      <c r="E8" s="162">
        <v>5000000</v>
      </c>
      <c r="G8" s="210" t="s">
        <v>166</v>
      </c>
      <c r="I8" s="52" t="s">
        <v>31</v>
      </c>
      <c r="J8" s="54">
        <f>IF(Current_Year&gt;'Decision Tree'!F34,"Sunk",'Decision Tree'!F42)</f>
        <v>-25718.941560097708</v>
      </c>
      <c r="K8" s="54">
        <f>IF(Current_Year&gt;'Decision Tree'!J34,"Sunk",'Decision Tree'!J42)</f>
        <v>-23391.077545151475</v>
      </c>
      <c r="L8" s="55">
        <f>IF(Current_Year&gt;'Decision Tree'!N34,"Sunk",'Decision Tree'!N42)</f>
        <v>-20210.178568404182</v>
      </c>
      <c r="N8" s="59"/>
      <c r="O8" s="4"/>
      <c r="P8" s="4"/>
      <c r="Q8" s="129"/>
      <c r="R8" s="4"/>
      <c r="S8" s="4"/>
      <c r="T8" s="4"/>
      <c r="U8" s="4"/>
      <c r="V8" s="4"/>
      <c r="W8" s="4"/>
      <c r="X8" s="4"/>
      <c r="Y8" s="4"/>
      <c r="Z8" s="4"/>
      <c r="AA8" s="4"/>
    </row>
    <row r="9" spans="1:33" x14ac:dyDescent="0.25">
      <c r="B9" s="62" t="s">
        <v>39</v>
      </c>
      <c r="C9" s="189">
        <v>0.12</v>
      </c>
      <c r="D9" s="190">
        <v>0.12</v>
      </c>
      <c r="E9" s="190">
        <v>0.01</v>
      </c>
      <c r="G9" s="210" t="s">
        <v>167</v>
      </c>
      <c r="I9" s="53" t="s">
        <v>33</v>
      </c>
      <c r="J9" s="56">
        <f>IF(J8="Sunk",0,J8)</f>
        <v>-25718.941560097708</v>
      </c>
      <c r="K9" s="56">
        <f ca="1">IF(K8="Sunk",0,J6*K8)</f>
        <v>-16983.747128803745</v>
      </c>
      <c r="L9" s="57">
        <f ca="1">IF(L8="Sunk",0,J6*K6*L8)</f>
        <v>-13352.099114261975</v>
      </c>
      <c r="M9" s="8"/>
      <c r="N9" s="74" t="s">
        <v>128</v>
      </c>
      <c r="O9" s="175"/>
      <c r="P9" s="175"/>
      <c r="Q9" s="176">
        <f>SUMPRODUCT(N5:N7,Q5:Q7)</f>
        <v>1.95</v>
      </c>
      <c r="R9" s="4"/>
      <c r="S9" s="4"/>
      <c r="T9" s="4"/>
      <c r="U9" s="4"/>
      <c r="V9" s="4"/>
      <c r="W9" s="4"/>
      <c r="X9" s="4"/>
      <c r="Y9" s="4"/>
      <c r="Z9" s="4"/>
      <c r="AA9" s="4"/>
      <c r="AB9"/>
      <c r="AC9"/>
      <c r="AD9"/>
      <c r="AE9"/>
      <c r="AF9"/>
      <c r="AG9"/>
    </row>
    <row r="10" spans="1:33" s="8" customFormat="1" x14ac:dyDescent="0.25">
      <c r="A10" s="1"/>
      <c r="B10" s="53" t="s">
        <v>160</v>
      </c>
      <c r="C10" s="209">
        <f>AVERAGE(D34:L34)</f>
        <v>0.02</v>
      </c>
      <c r="D10" s="190">
        <v>0.02</v>
      </c>
      <c r="E10" s="190">
        <v>1.4999999999999999E-2</v>
      </c>
      <c r="F10" s="203"/>
      <c r="G10" s="210" t="s">
        <v>168</v>
      </c>
      <c r="R10" s="4" t="s">
        <v>3</v>
      </c>
      <c r="S10" s="4"/>
      <c r="T10" s="4"/>
      <c r="U10" s="4"/>
      <c r="V10" s="4"/>
      <c r="W10" s="4"/>
      <c r="X10" s="4"/>
      <c r="Y10" s="4"/>
      <c r="Z10" s="4"/>
      <c r="AA10" s="4"/>
      <c r="AB10"/>
      <c r="AC10"/>
      <c r="AD10"/>
      <c r="AE10"/>
      <c r="AF10"/>
      <c r="AG10"/>
    </row>
    <row r="11" spans="1:33" s="8" customFormat="1" x14ac:dyDescent="0.25">
      <c r="A11" s="1"/>
      <c r="F11" s="191"/>
      <c r="G11" s="198"/>
      <c r="H11" s="198"/>
      <c r="J11" s="187" t="s">
        <v>131</v>
      </c>
      <c r="K11" s="187" t="s">
        <v>132</v>
      </c>
      <c r="L11" s="187" t="s">
        <v>133</v>
      </c>
      <c r="N11" s="122" t="s">
        <v>130</v>
      </c>
      <c r="R11" s="4"/>
      <c r="S11" s="4"/>
      <c r="T11" s="4"/>
      <c r="U11" s="4"/>
      <c r="V11" s="4"/>
      <c r="W11" s="4"/>
      <c r="X11" s="4"/>
      <c r="Y11" s="4"/>
      <c r="Z11" s="4"/>
      <c r="AA11" s="4"/>
      <c r="AB11"/>
      <c r="AC11"/>
      <c r="AD11"/>
      <c r="AE11"/>
      <c r="AF11"/>
      <c r="AG11"/>
    </row>
    <row r="12" spans="1:33" s="4" customFormat="1" x14ac:dyDescent="0.25">
      <c r="A12" s="1"/>
      <c r="B12" s="23" t="s">
        <v>122</v>
      </c>
      <c r="C12" s="167" t="s">
        <v>119</v>
      </c>
      <c r="D12" s="168" t="s">
        <v>120</v>
      </c>
      <c r="E12" s="65" t="s">
        <v>103</v>
      </c>
      <c r="F12" s="65" t="s">
        <v>104</v>
      </c>
      <c r="G12" s="65" t="s">
        <v>105</v>
      </c>
      <c r="I12" s="72" t="s">
        <v>138</v>
      </c>
      <c r="J12" s="202">
        <f ca="1">SUM(C49:AA49) + SUM(J8:L8)</f>
        <v>761240.36828889872</v>
      </c>
      <c r="K12" s="202">
        <f ca="1">SUM(C49:L49) + SUM(J8:L8)</f>
        <v>383164.1899655906</v>
      </c>
      <c r="L12" s="199">
        <f ca="1">+J12-K12</f>
        <v>378076.17832330812</v>
      </c>
      <c r="N12" s="179" t="s">
        <v>125</v>
      </c>
      <c r="O12" s="180" t="s">
        <v>126</v>
      </c>
    </row>
    <row r="13" spans="1:33" s="4" customFormat="1" x14ac:dyDescent="0.25">
      <c r="A13" s="1"/>
      <c r="B13" s="58" t="s">
        <v>117</v>
      </c>
      <c r="C13" s="163">
        <v>-200000</v>
      </c>
      <c r="D13" s="170">
        <v>-200000</v>
      </c>
      <c r="E13" s="162">
        <v>-245000</v>
      </c>
      <c r="F13" s="162">
        <v>-200000</v>
      </c>
      <c r="G13" s="162">
        <v>-160000</v>
      </c>
      <c r="I13" s="73" t="s">
        <v>56</v>
      </c>
      <c r="J13" s="71">
        <f ca="1">ABS(MIN(C50:AA50,SUM(J8:L8)))</f>
        <v>235686.66607515106</v>
      </c>
      <c r="K13" s="71">
        <f ca="1">ABS(MIN(C50:L50,SUM(J8:L8)))</f>
        <v>235686.66607515106</v>
      </c>
      <c r="L13" s="200">
        <f t="shared" ref="L13:L16" ca="1" si="0">+J13-K13</f>
        <v>0</v>
      </c>
      <c r="N13" s="181">
        <v>1</v>
      </c>
      <c r="O13" s="68">
        <v>0.8</v>
      </c>
    </row>
    <row r="14" spans="1:33" s="4" customFormat="1" x14ac:dyDescent="0.25">
      <c r="A14" s="1"/>
      <c r="B14" s="59" t="s">
        <v>118</v>
      </c>
      <c r="C14" s="169">
        <v>-100000</v>
      </c>
      <c r="D14" s="171">
        <v>-100000</v>
      </c>
      <c r="E14" s="162">
        <v>-160000</v>
      </c>
      <c r="F14" s="162">
        <v>-100000</v>
      </c>
      <c r="G14" s="162">
        <v>-40000</v>
      </c>
      <c r="H14" s="177">
        <f>IF(SimOpt_Var=1,$D14,$C14)*(AVERAGE(D34:L34)+1)^10</f>
        <v>-121899.4419994757</v>
      </c>
      <c r="I14" s="73" t="s">
        <v>57</v>
      </c>
      <c r="J14" s="71">
        <f ca="1">SUM(C37:AA37)*(J6*K6*L6)</f>
        <v>1740271.1863286367</v>
      </c>
      <c r="K14" s="71">
        <f ca="1">SUM(C37:L37)*(J6*K6*L6)</f>
        <v>1339385.0230812342</v>
      </c>
      <c r="L14" s="200">
        <f t="shared" ca="1" si="0"/>
        <v>400886.16324740252</v>
      </c>
      <c r="N14" s="182">
        <v>2</v>
      </c>
      <c r="O14" s="68">
        <v>0.15</v>
      </c>
    </row>
    <row r="15" spans="1:33" s="4" customFormat="1" x14ac:dyDescent="0.25">
      <c r="A15" s="1"/>
      <c r="B15" s="59" t="s">
        <v>121</v>
      </c>
      <c r="C15" s="169">
        <v>26</v>
      </c>
      <c r="D15" s="171">
        <v>32</v>
      </c>
      <c r="E15" s="162">
        <f>MIN(O5:P7)</f>
        <v>23</v>
      </c>
      <c r="F15" s="162">
        <v>24</v>
      </c>
      <c r="G15" s="162">
        <f>MAX(O5:P7)</f>
        <v>32</v>
      </c>
      <c r="H15" s="177">
        <f>IF(SimOpt_Var=1,$D15,$C15)</f>
        <v>26</v>
      </c>
      <c r="I15" s="73" t="s">
        <v>58</v>
      </c>
      <c r="J15" s="71">
        <f ca="1">ABS(SUM(J9:L9))+ABS(SUM(C45:AA45))*(J6*K6*L6)</f>
        <v>1264108.9536529654</v>
      </c>
      <c r="K15" s="71">
        <f ca="1">ABS(SUM(J9:L9))+ABS(SUM(C45:L45))*(J6*K6*L6)</f>
        <v>1085028.2091778163</v>
      </c>
      <c r="L15" s="200">
        <f t="shared" ca="1" si="0"/>
        <v>179080.74447514908</v>
      </c>
      <c r="N15" s="183">
        <v>3</v>
      </c>
      <c r="O15" s="68">
        <v>0.05</v>
      </c>
    </row>
    <row r="16" spans="1:33" s="4" customFormat="1" x14ac:dyDescent="0.25">
      <c r="A16" s="1"/>
      <c r="B16" s="53" t="s">
        <v>36</v>
      </c>
      <c r="C16" s="195">
        <v>13</v>
      </c>
      <c r="D16" s="196">
        <v>13</v>
      </c>
      <c r="E16" s="197">
        <v>9</v>
      </c>
      <c r="F16" s="197">
        <v>12</v>
      </c>
      <c r="G16" s="197">
        <v>25</v>
      </c>
      <c r="H16" s="177">
        <f>ROUND(IF(SimOpt_Var=1,$D16,$C16),0)</f>
        <v>13</v>
      </c>
      <c r="I16" s="74" t="s">
        <v>59</v>
      </c>
      <c r="J16" s="75">
        <f ca="1">(J14-J15)/J15</f>
        <v>0.37667815839740637</v>
      </c>
      <c r="K16" s="75">
        <f ca="1">(K14-K15)/K15</f>
        <v>0.23442414837873904</v>
      </c>
      <c r="L16" s="201">
        <f t="shared" ca="1" si="0"/>
        <v>0.14225401001866733</v>
      </c>
    </row>
    <row r="17" spans="1:27" s="4" customFormat="1" x14ac:dyDescent="0.25">
      <c r="A17" s="1"/>
    </row>
    <row r="18" spans="1:27" s="4" customFormat="1" x14ac:dyDescent="0.25">
      <c r="A18" s="1"/>
    </row>
    <row r="19" spans="1:27" s="8" customFormat="1" x14ac:dyDescent="0.25">
      <c r="A19" s="1"/>
      <c r="B19" s="42" t="s">
        <v>40</v>
      </c>
      <c r="C19" s="43">
        <v>1</v>
      </c>
      <c r="D19" s="43">
        <f>1+C19</f>
        <v>2</v>
      </c>
      <c r="E19" s="43">
        <f t="shared" ref="E19:AA19" si="1">1+D19</f>
        <v>3</v>
      </c>
      <c r="F19" s="43">
        <f t="shared" si="1"/>
        <v>4</v>
      </c>
      <c r="G19" s="43">
        <f t="shared" si="1"/>
        <v>5</v>
      </c>
      <c r="H19" s="43">
        <f t="shared" si="1"/>
        <v>6</v>
      </c>
      <c r="I19" s="43">
        <f t="shared" si="1"/>
        <v>7</v>
      </c>
      <c r="J19" s="43">
        <f t="shared" si="1"/>
        <v>8</v>
      </c>
      <c r="K19" s="43">
        <f t="shared" si="1"/>
        <v>9</v>
      </c>
      <c r="L19" s="44">
        <f t="shared" si="1"/>
        <v>10</v>
      </c>
      <c r="M19" s="43">
        <f t="shared" si="1"/>
        <v>11</v>
      </c>
      <c r="N19" s="43">
        <f t="shared" si="1"/>
        <v>12</v>
      </c>
      <c r="O19" s="43">
        <f t="shared" si="1"/>
        <v>13</v>
      </c>
      <c r="P19" s="43">
        <f t="shared" si="1"/>
        <v>14</v>
      </c>
      <c r="Q19" s="43">
        <f t="shared" si="1"/>
        <v>15</v>
      </c>
      <c r="R19" s="43">
        <f t="shared" si="1"/>
        <v>16</v>
      </c>
      <c r="S19" s="43">
        <f t="shared" si="1"/>
        <v>17</v>
      </c>
      <c r="T19" s="43">
        <f t="shared" si="1"/>
        <v>18</v>
      </c>
      <c r="U19" s="43">
        <f t="shared" si="1"/>
        <v>19</v>
      </c>
      <c r="V19" s="43">
        <f t="shared" si="1"/>
        <v>20</v>
      </c>
      <c r="W19" s="43">
        <f t="shared" si="1"/>
        <v>21</v>
      </c>
      <c r="X19" s="43">
        <f t="shared" si="1"/>
        <v>22</v>
      </c>
      <c r="Y19" s="43">
        <f t="shared" si="1"/>
        <v>23</v>
      </c>
      <c r="Z19" s="43">
        <f t="shared" si="1"/>
        <v>24</v>
      </c>
      <c r="AA19" s="44">
        <f t="shared" si="1"/>
        <v>25</v>
      </c>
    </row>
    <row r="20" spans="1:27" s="8" customFormat="1" x14ac:dyDescent="0.25">
      <c r="A20" s="1"/>
      <c r="B20" s="23"/>
      <c r="C20" s="35"/>
      <c r="D20" s="35"/>
      <c r="E20" s="35"/>
      <c r="F20" s="35"/>
      <c r="G20" s="35"/>
      <c r="H20" s="35"/>
      <c r="I20" s="35"/>
      <c r="J20" s="35"/>
      <c r="K20" s="35"/>
      <c r="L20" s="35"/>
      <c r="M20" s="35"/>
      <c r="N20" s="35"/>
      <c r="O20" s="35"/>
      <c r="P20" s="35"/>
      <c r="Q20" s="35"/>
      <c r="R20" s="35"/>
      <c r="S20" s="35"/>
      <c r="T20" s="35"/>
      <c r="U20" s="35"/>
      <c r="V20" s="35"/>
      <c r="W20" s="35"/>
      <c r="X20" s="35"/>
      <c r="Y20" s="35"/>
      <c r="Z20" s="35"/>
      <c r="AA20" s="35"/>
    </row>
    <row r="21" spans="1:27" s="8" customFormat="1" x14ac:dyDescent="0.25">
      <c r="A21" s="1"/>
      <c r="B21" s="23" t="s">
        <v>41</v>
      </c>
      <c r="C21" s="38"/>
      <c r="D21" s="38"/>
      <c r="E21" s="38"/>
      <c r="F21" s="38"/>
      <c r="G21" s="38"/>
      <c r="H21" s="38"/>
      <c r="I21" s="38"/>
      <c r="J21" s="38"/>
      <c r="K21" s="38"/>
      <c r="L21" s="38"/>
      <c r="M21" s="38"/>
      <c r="N21" s="38"/>
      <c r="O21" s="38"/>
      <c r="P21" s="38"/>
      <c r="Q21" s="38"/>
      <c r="R21" s="38"/>
      <c r="S21" s="38"/>
      <c r="T21" s="38"/>
      <c r="U21" s="38"/>
      <c r="V21" s="38"/>
      <c r="W21" s="38"/>
      <c r="X21" s="38"/>
      <c r="Y21" s="38"/>
      <c r="Z21" s="38"/>
      <c r="AA21" s="38"/>
    </row>
    <row r="22" spans="1:27" s="8" customFormat="1" hidden="1" outlineLevel="1" x14ac:dyDescent="0.25">
      <c r="A22" s="1"/>
      <c r="B22" s="63" t="s">
        <v>101</v>
      </c>
      <c r="C22" s="64">
        <v>1.016</v>
      </c>
      <c r="D22" s="64">
        <v>1.016</v>
      </c>
      <c r="E22" s="64">
        <v>1.05</v>
      </c>
      <c r="F22" s="64">
        <v>1.05</v>
      </c>
      <c r="G22" s="64">
        <v>1.0780000000000001</v>
      </c>
      <c r="H22" s="64">
        <v>1.0780000000000001</v>
      </c>
      <c r="I22" s="64">
        <v>1.0620000000000001</v>
      </c>
      <c r="J22" s="64">
        <v>1.0620000000000001</v>
      </c>
      <c r="K22" s="64">
        <v>1.006</v>
      </c>
      <c r="L22" s="64">
        <v>1.006</v>
      </c>
      <c r="M22" s="64">
        <v>0.94599999999999995</v>
      </c>
      <c r="N22" s="64">
        <v>0.94599999999999995</v>
      </c>
      <c r="O22" s="64">
        <v>0.93599999999999994</v>
      </c>
      <c r="P22" s="64">
        <v>0.93599999999999994</v>
      </c>
      <c r="Q22" s="64">
        <v>0.94799999999999995</v>
      </c>
      <c r="R22" s="64">
        <v>0.94799999999999995</v>
      </c>
      <c r="S22" s="64">
        <v>0.97</v>
      </c>
      <c r="T22" s="64">
        <v>0.97</v>
      </c>
      <c r="U22" s="64">
        <v>0.99199999999999999</v>
      </c>
      <c r="V22" s="64">
        <v>0.99199999999999999</v>
      </c>
      <c r="W22" s="64">
        <v>0.99199999999999999</v>
      </c>
      <c r="X22" s="64">
        <v>0.99199999999999999</v>
      </c>
      <c r="Y22" s="64">
        <v>0.99199999999999999</v>
      </c>
      <c r="Z22" s="64">
        <v>0.99199999999999999</v>
      </c>
      <c r="AA22" s="64">
        <v>0.99199999999999999</v>
      </c>
    </row>
    <row r="23" spans="1:27" s="8" customFormat="1" hidden="1" outlineLevel="1" x14ac:dyDescent="0.25">
      <c r="A23" s="4"/>
      <c r="B23" s="39" t="s">
        <v>42</v>
      </c>
      <c r="C23" s="40">
        <v>0.1</v>
      </c>
      <c r="D23" s="40">
        <v>0.24</v>
      </c>
      <c r="E23" s="40">
        <v>0.3</v>
      </c>
      <c r="F23" s="40">
        <v>0.36</v>
      </c>
      <c r="G23" s="40">
        <v>0.4</v>
      </c>
      <c r="H23" s="40">
        <f t="shared" ref="H23:AA23" si="2">G23*C22</f>
        <v>0.40640000000000004</v>
      </c>
      <c r="I23" s="40">
        <f t="shared" si="2"/>
        <v>0.41290240000000006</v>
      </c>
      <c r="J23" s="40">
        <f t="shared" si="2"/>
        <v>0.43354752000000008</v>
      </c>
      <c r="K23" s="40">
        <f t="shared" si="2"/>
        <v>0.4552248960000001</v>
      </c>
      <c r="L23" s="40">
        <f t="shared" si="2"/>
        <v>0.49073243788800014</v>
      </c>
      <c r="M23" s="40">
        <f t="shared" si="2"/>
        <v>0.52900956804326416</v>
      </c>
      <c r="N23" s="40">
        <f t="shared" si="2"/>
        <v>0.56180816126194655</v>
      </c>
      <c r="O23" s="40">
        <f t="shared" si="2"/>
        <v>0.59664026726018726</v>
      </c>
      <c r="P23" s="40">
        <f t="shared" si="2"/>
        <v>0.60022010886374844</v>
      </c>
      <c r="Q23" s="40">
        <f t="shared" si="2"/>
        <v>0.60382142951693096</v>
      </c>
      <c r="R23" s="40">
        <f t="shared" si="2"/>
        <v>0.57121507232301671</v>
      </c>
      <c r="S23" s="40">
        <f t="shared" si="2"/>
        <v>0.54036945841757378</v>
      </c>
      <c r="T23" s="40">
        <f t="shared" si="2"/>
        <v>0.50578581307884907</v>
      </c>
      <c r="U23" s="40">
        <f t="shared" si="2"/>
        <v>0.47341552104180268</v>
      </c>
      <c r="V23" s="40">
        <f t="shared" si="2"/>
        <v>0.44879791394762891</v>
      </c>
      <c r="W23" s="40">
        <f t="shared" si="2"/>
        <v>0.42546042242235221</v>
      </c>
      <c r="X23" s="40">
        <f t="shared" si="2"/>
        <v>0.41269660974968164</v>
      </c>
      <c r="Y23" s="40">
        <f t="shared" si="2"/>
        <v>0.40031571145719119</v>
      </c>
      <c r="Z23" s="40">
        <f t="shared" si="2"/>
        <v>0.39711318576553367</v>
      </c>
      <c r="AA23" s="40">
        <f t="shared" si="2"/>
        <v>0.39393628027940941</v>
      </c>
    </row>
    <row r="24" spans="1:27" s="8" customFormat="1" hidden="1" outlineLevel="1" x14ac:dyDescent="0.25">
      <c r="A24" s="4"/>
      <c r="B24" s="39" t="s">
        <v>43</v>
      </c>
      <c r="C24" s="40">
        <v>0.12</v>
      </c>
      <c r="D24" s="40">
        <v>0.2</v>
      </c>
      <c r="E24" s="40">
        <v>0.28000000000000003</v>
      </c>
      <c r="F24" s="40">
        <v>0.36</v>
      </c>
      <c r="G24" s="40">
        <f t="shared" ref="G24:AA24" si="3">F24*C22</f>
        <v>0.36575999999999997</v>
      </c>
      <c r="H24" s="40">
        <f t="shared" si="3"/>
        <v>0.37161215999999997</v>
      </c>
      <c r="I24" s="40">
        <f t="shared" si="3"/>
        <v>0.39019276799999997</v>
      </c>
      <c r="J24" s="40">
        <f t="shared" si="3"/>
        <v>0.4097024064</v>
      </c>
      <c r="K24" s="40">
        <f t="shared" si="3"/>
        <v>0.44165919409920001</v>
      </c>
      <c r="L24" s="40">
        <f t="shared" si="3"/>
        <v>0.47610861123893766</v>
      </c>
      <c r="M24" s="40">
        <f t="shared" si="3"/>
        <v>0.5056273451357518</v>
      </c>
      <c r="N24" s="40">
        <f t="shared" si="3"/>
        <v>0.53697624053416848</v>
      </c>
      <c r="O24" s="40">
        <f t="shared" si="3"/>
        <v>0.5401980979773735</v>
      </c>
      <c r="P24" s="40">
        <f t="shared" si="3"/>
        <v>0.54343928656523777</v>
      </c>
      <c r="Q24" s="40">
        <f t="shared" si="3"/>
        <v>0.51409356509071491</v>
      </c>
      <c r="R24" s="40">
        <f t="shared" si="3"/>
        <v>0.48633251257581628</v>
      </c>
      <c r="S24" s="40">
        <f t="shared" si="3"/>
        <v>0.455207231770964</v>
      </c>
      <c r="T24" s="40">
        <f t="shared" si="3"/>
        <v>0.42607396893762228</v>
      </c>
      <c r="U24" s="40">
        <f t="shared" si="3"/>
        <v>0.40391812255286591</v>
      </c>
      <c r="V24" s="40">
        <f t="shared" si="3"/>
        <v>0.38291438018011686</v>
      </c>
      <c r="W24" s="40">
        <f t="shared" si="3"/>
        <v>0.37142694877471333</v>
      </c>
      <c r="X24" s="40">
        <f t="shared" si="3"/>
        <v>0.36028414031147193</v>
      </c>
      <c r="Y24" s="40">
        <f t="shared" si="3"/>
        <v>0.35740186718898015</v>
      </c>
      <c r="Z24" s="40">
        <f t="shared" si="3"/>
        <v>0.3545426522514683</v>
      </c>
      <c r="AA24" s="40">
        <f t="shared" si="3"/>
        <v>0.35170631103345656</v>
      </c>
    </row>
    <row r="25" spans="1:27" s="8" customFormat="1" hidden="1" outlineLevel="1" x14ac:dyDescent="0.25">
      <c r="A25" s="4"/>
      <c r="B25" s="39" t="s">
        <v>44</v>
      </c>
      <c r="C25" s="40">
        <v>0.08</v>
      </c>
      <c r="D25" s="40">
        <f t="shared" ref="D25:AA25" si="4">C25*C22</f>
        <v>8.1280000000000005E-2</v>
      </c>
      <c r="E25" s="40">
        <f t="shared" si="4"/>
        <v>8.2580480000000012E-2</v>
      </c>
      <c r="F25" s="40">
        <f t="shared" si="4"/>
        <v>8.6709504000000021E-2</v>
      </c>
      <c r="G25" s="40">
        <f t="shared" si="4"/>
        <v>9.1044979200000029E-2</v>
      </c>
      <c r="H25" s="40">
        <f t="shared" si="4"/>
        <v>9.8146487577600042E-2</v>
      </c>
      <c r="I25" s="40">
        <f t="shared" si="4"/>
        <v>0.10580191360865285</v>
      </c>
      <c r="J25" s="40">
        <f t="shared" si="4"/>
        <v>0.11236163225238933</v>
      </c>
      <c r="K25" s="40">
        <f t="shared" si="4"/>
        <v>0.11932805345203748</v>
      </c>
      <c r="L25" s="40">
        <f t="shared" si="4"/>
        <v>0.12004402177274971</v>
      </c>
      <c r="M25" s="40">
        <f t="shared" si="4"/>
        <v>0.12076428590338621</v>
      </c>
      <c r="N25" s="40">
        <f t="shared" si="4"/>
        <v>0.11424301446460335</v>
      </c>
      <c r="O25" s="40">
        <f t="shared" si="4"/>
        <v>0.10807389168351476</v>
      </c>
      <c r="P25" s="40">
        <f t="shared" si="4"/>
        <v>0.10115716261576982</v>
      </c>
      <c r="Q25" s="40">
        <f t="shared" si="4"/>
        <v>9.4683104208360541E-2</v>
      </c>
      <c r="R25" s="40">
        <f t="shared" si="4"/>
        <v>8.9759582789525783E-2</v>
      </c>
      <c r="S25" s="40">
        <f t="shared" si="4"/>
        <v>8.5092084484470434E-2</v>
      </c>
      <c r="T25" s="40">
        <f t="shared" si="4"/>
        <v>8.2539321949936323E-2</v>
      </c>
      <c r="U25" s="40">
        <f t="shared" si="4"/>
        <v>8.0063142291438225E-2</v>
      </c>
      <c r="V25" s="40">
        <f t="shared" si="4"/>
        <v>7.9422637153106712E-2</v>
      </c>
      <c r="W25" s="40">
        <f t="shared" si="4"/>
        <v>7.8787256055881855E-2</v>
      </c>
      <c r="X25" s="40">
        <f t="shared" si="4"/>
        <v>7.8156958007434801E-2</v>
      </c>
      <c r="Y25" s="40">
        <f t="shared" si="4"/>
        <v>7.7531702343375322E-2</v>
      </c>
      <c r="Z25" s="40">
        <f t="shared" si="4"/>
        <v>7.6911448724628323E-2</v>
      </c>
      <c r="AA25" s="40">
        <f t="shared" si="4"/>
        <v>7.6296157134831302E-2</v>
      </c>
    </row>
    <row r="26" spans="1:27" s="8" customFormat="1" hidden="1" outlineLevel="1" x14ac:dyDescent="0.25">
      <c r="A26" s="4"/>
      <c r="B26" s="39" t="s">
        <v>45</v>
      </c>
      <c r="C26" s="40">
        <v>0.02</v>
      </c>
      <c r="D26" s="40">
        <f>C26</f>
        <v>0.02</v>
      </c>
      <c r="E26" s="40">
        <f t="shared" ref="E26:Q26" si="5">D26</f>
        <v>0.02</v>
      </c>
      <c r="F26" s="40">
        <f t="shared" si="5"/>
        <v>0.02</v>
      </c>
      <c r="G26" s="40">
        <f t="shared" si="5"/>
        <v>0.02</v>
      </c>
      <c r="H26" s="40">
        <f t="shared" si="5"/>
        <v>0.02</v>
      </c>
      <c r="I26" s="40">
        <f t="shared" si="5"/>
        <v>0.02</v>
      </c>
      <c r="J26" s="40">
        <f t="shared" si="5"/>
        <v>0.02</v>
      </c>
      <c r="K26" s="40">
        <f t="shared" si="5"/>
        <v>0.02</v>
      </c>
      <c r="L26" s="40">
        <f t="shared" si="5"/>
        <v>0.02</v>
      </c>
      <c r="M26" s="40">
        <f t="shared" si="5"/>
        <v>0.02</v>
      </c>
      <c r="N26" s="40">
        <f t="shared" si="5"/>
        <v>0.02</v>
      </c>
      <c r="O26" s="40">
        <f t="shared" si="5"/>
        <v>0.02</v>
      </c>
      <c r="P26" s="40">
        <f t="shared" si="5"/>
        <v>0.02</v>
      </c>
      <c r="Q26" s="40">
        <f t="shared" si="5"/>
        <v>0.02</v>
      </c>
      <c r="R26" s="40">
        <v>0.02</v>
      </c>
      <c r="S26" s="40">
        <v>0.02</v>
      </c>
      <c r="T26" s="40">
        <v>0.02</v>
      </c>
      <c r="U26" s="40">
        <v>0.02</v>
      </c>
      <c r="V26" s="40">
        <v>0.02</v>
      </c>
      <c r="W26" s="40">
        <v>0.02</v>
      </c>
      <c r="X26" s="40">
        <v>0.02</v>
      </c>
      <c r="Y26" s="40">
        <v>0.02</v>
      </c>
      <c r="Z26" s="40">
        <v>0.02</v>
      </c>
      <c r="AA26" s="40">
        <v>0.02</v>
      </c>
    </row>
    <row r="27" spans="1:27" s="8" customFormat="1" hidden="1" outlineLevel="1" x14ac:dyDescent="0.25">
      <c r="A27" s="4"/>
      <c r="B27" s="39" t="s">
        <v>46</v>
      </c>
      <c r="C27" s="41">
        <f>C8</f>
        <v>50000000</v>
      </c>
      <c r="D27" s="41">
        <f>C27*(1+C26)</f>
        <v>51000000</v>
      </c>
      <c r="E27" s="41">
        <f t="shared" ref="E27:AA27" si="6">D27*(1+D26)</f>
        <v>52020000</v>
      </c>
      <c r="F27" s="41">
        <f t="shared" si="6"/>
        <v>53060400</v>
      </c>
      <c r="G27" s="41">
        <f t="shared" si="6"/>
        <v>54121608</v>
      </c>
      <c r="H27" s="41">
        <f t="shared" si="6"/>
        <v>55204040.160000004</v>
      </c>
      <c r="I27" s="41">
        <f t="shared" si="6"/>
        <v>56308120.963200003</v>
      </c>
      <c r="J27" s="41">
        <f t="shared" si="6"/>
        <v>57434283.382464007</v>
      </c>
      <c r="K27" s="41">
        <f t="shared" si="6"/>
        <v>58582969.050113291</v>
      </c>
      <c r="L27" s="41">
        <f t="shared" si="6"/>
        <v>59754628.43111556</v>
      </c>
      <c r="M27" s="41">
        <f t="shared" si="6"/>
        <v>60949720.999737874</v>
      </c>
      <c r="N27" s="41">
        <f t="shared" si="6"/>
        <v>62168715.41973263</v>
      </c>
      <c r="O27" s="41">
        <f t="shared" si="6"/>
        <v>63412089.728127286</v>
      </c>
      <c r="P27" s="41">
        <f t="shared" si="6"/>
        <v>64680331.522689834</v>
      </c>
      <c r="Q27" s="41">
        <f t="shared" si="6"/>
        <v>65973938.153143629</v>
      </c>
      <c r="R27" s="41">
        <f t="shared" si="6"/>
        <v>67293416.916206509</v>
      </c>
      <c r="S27" s="41">
        <f t="shared" si="6"/>
        <v>68639285.254530638</v>
      </c>
      <c r="T27" s="41">
        <f t="shared" si="6"/>
        <v>70012070.959621251</v>
      </c>
      <c r="U27" s="41">
        <f t="shared" si="6"/>
        <v>71412312.378813684</v>
      </c>
      <c r="V27" s="41">
        <f t="shared" si="6"/>
        <v>72840558.626389965</v>
      </c>
      <c r="W27" s="41">
        <f t="shared" si="6"/>
        <v>74297369.79891777</v>
      </c>
      <c r="X27" s="41">
        <f t="shared" si="6"/>
        <v>75783317.194896132</v>
      </c>
      <c r="Y27" s="41">
        <f t="shared" si="6"/>
        <v>77298983.538794056</v>
      </c>
      <c r="Z27" s="41">
        <f t="shared" si="6"/>
        <v>78844963.209569931</v>
      </c>
      <c r="AA27" s="41">
        <f t="shared" si="6"/>
        <v>80421862.473761335</v>
      </c>
    </row>
    <row r="28" spans="1:27" s="8" customFormat="1" ht="16.5" customHeight="1" collapsed="1" x14ac:dyDescent="0.25">
      <c r="A28" s="83" t="s">
        <v>143</v>
      </c>
      <c r="B28" s="39" t="s">
        <v>41</v>
      </c>
      <c r="C28" s="41">
        <f t="shared" ref="C28:AA28" si="7">IF($C$7=1,C$27*C$23,IF($C$7=2,C$27*C$24,IF($C$7=3,C$27*C$25)))*MarketShareRatio</f>
        <v>11700000</v>
      </c>
      <c r="D28" s="41">
        <f t="shared" si="7"/>
        <v>19890000</v>
      </c>
      <c r="E28" s="41">
        <f t="shared" si="7"/>
        <v>28402920.000000004</v>
      </c>
      <c r="F28" s="41">
        <f t="shared" si="7"/>
        <v>37248400.799999997</v>
      </c>
      <c r="G28" s="41">
        <f t="shared" si="7"/>
        <v>38601262.717055991</v>
      </c>
      <c r="H28" s="41">
        <f t="shared" si="7"/>
        <v>40003260.578939468</v>
      </c>
      <c r="I28" s="41">
        <f t="shared" si="7"/>
        <v>42843492.080044173</v>
      </c>
      <c r="J28" s="41">
        <f t="shared" si="7"/>
        <v>45885380.017727315</v>
      </c>
      <c r="K28" s="41">
        <f t="shared" si="7"/>
        <v>50453728.452292249</v>
      </c>
      <c r="L28" s="41">
        <f t="shared" si="7"/>
        <v>55476901.657002479</v>
      </c>
      <c r="M28" s="41">
        <f t="shared" si="7"/>
        <v>60094798.95093137</v>
      </c>
      <c r="N28" s="41">
        <f t="shared" si="7"/>
        <v>65097090.015606903</v>
      </c>
      <c r="O28" s="41">
        <f t="shared" si="7"/>
        <v>66797426.006814562</v>
      </c>
      <c r="P28" s="41">
        <f t="shared" si="7"/>
        <v>68542174.774112567</v>
      </c>
      <c r="Q28" s="41">
        <f t="shared" si="7"/>
        <v>66137715.283036694</v>
      </c>
      <c r="R28" s="41">
        <f t="shared" si="7"/>
        <v>63817604.230907768</v>
      </c>
      <c r="S28" s="41">
        <f t="shared" si="7"/>
        <v>60927943.111332253</v>
      </c>
      <c r="T28" s="41">
        <f t="shared" si="7"/>
        <v>58169125.847251132</v>
      </c>
      <c r="U28" s="41">
        <f t="shared" si="7"/>
        <v>56247217.929257952</v>
      </c>
      <c r="V28" s="41">
        <f t="shared" si="7"/>
        <v>54388809.848875277</v>
      </c>
      <c r="W28" s="41">
        <f t="shared" si="7"/>
        <v>53812288.464477204</v>
      </c>
      <c r="X28" s="41">
        <f t="shared" si="7"/>
        <v>53241878.206753746</v>
      </c>
      <c r="Y28" s="41">
        <f t="shared" si="7"/>
        <v>53872262.044721715</v>
      </c>
      <c r="Z28" s="41">
        <f t="shared" si="7"/>
        <v>54510109.627331212</v>
      </c>
      <c r="AA28" s="41">
        <f t="shared" si="7"/>
        <v>55155509.325318813</v>
      </c>
    </row>
    <row r="29" spans="1:27" s="3" customFormat="1" x14ac:dyDescent="0.25">
      <c r="A29" s="82"/>
      <c r="B29"/>
      <c r="C29" t="s">
        <v>3</v>
      </c>
      <c r="D29"/>
      <c r="E29"/>
      <c r="F29"/>
      <c r="G29"/>
      <c r="H29"/>
      <c r="I29"/>
      <c r="J29"/>
      <c r="K29"/>
      <c r="L29"/>
      <c r="M29"/>
      <c r="N29"/>
      <c r="O29"/>
      <c r="P29"/>
      <c r="Q29"/>
      <c r="R29"/>
      <c r="S29"/>
      <c r="T29"/>
      <c r="U29"/>
      <c r="V29"/>
      <c r="W29"/>
      <c r="X29"/>
      <c r="Y29"/>
      <c r="Z29"/>
      <c r="AA29"/>
    </row>
    <row r="30" spans="1:27" s="8" customFormat="1" x14ac:dyDescent="0.25">
      <c r="A30" s="1"/>
      <c r="B30" s="23" t="s">
        <v>13</v>
      </c>
      <c r="O30" s="38"/>
      <c r="P30" s="38"/>
      <c r="Q30" s="38"/>
      <c r="R30" s="38"/>
      <c r="S30" s="38"/>
      <c r="T30" s="38"/>
      <c r="U30" s="38"/>
      <c r="V30" s="38"/>
      <c r="W30" s="38"/>
      <c r="X30" s="38"/>
      <c r="Y30" s="38"/>
      <c r="Z30" s="38"/>
      <c r="AA30" s="38"/>
    </row>
    <row r="31" spans="1:27" s="8" customFormat="1" x14ac:dyDescent="0.25">
      <c r="A31" s="1"/>
      <c r="B31" s="39" t="s">
        <v>47</v>
      </c>
      <c r="C31" s="41">
        <f t="shared" ref="C31:AA31" si="8">C28</f>
        <v>11700000</v>
      </c>
      <c r="D31" s="41">
        <f t="shared" si="8"/>
        <v>19890000</v>
      </c>
      <c r="E31" s="41">
        <f t="shared" si="8"/>
        <v>28402920.000000004</v>
      </c>
      <c r="F31" s="41">
        <f t="shared" si="8"/>
        <v>37248400.799999997</v>
      </c>
      <c r="G31" s="41">
        <f t="shared" si="8"/>
        <v>38601262.717055991</v>
      </c>
      <c r="H31" s="41">
        <f t="shared" si="8"/>
        <v>40003260.578939468</v>
      </c>
      <c r="I31" s="41">
        <f t="shared" si="8"/>
        <v>42843492.080044173</v>
      </c>
      <c r="J31" s="41">
        <f t="shared" si="8"/>
        <v>45885380.017727315</v>
      </c>
      <c r="K31" s="41">
        <f t="shared" si="8"/>
        <v>50453728.452292249</v>
      </c>
      <c r="L31" s="41">
        <f t="shared" si="8"/>
        <v>55476901.657002479</v>
      </c>
      <c r="M31" s="41">
        <f t="shared" si="8"/>
        <v>60094798.95093137</v>
      </c>
      <c r="N31" s="41">
        <f t="shared" si="8"/>
        <v>65097090.015606903</v>
      </c>
      <c r="O31" s="41">
        <f t="shared" si="8"/>
        <v>66797426.006814562</v>
      </c>
      <c r="P31" s="41">
        <f t="shared" si="8"/>
        <v>68542174.774112567</v>
      </c>
      <c r="Q31" s="41">
        <f t="shared" si="8"/>
        <v>66137715.283036694</v>
      </c>
      <c r="R31" s="41">
        <f t="shared" si="8"/>
        <v>63817604.230907768</v>
      </c>
      <c r="S31" s="41">
        <f t="shared" si="8"/>
        <v>60927943.111332253</v>
      </c>
      <c r="T31" s="41">
        <f t="shared" si="8"/>
        <v>58169125.847251132</v>
      </c>
      <c r="U31" s="41">
        <f t="shared" si="8"/>
        <v>56247217.929257952</v>
      </c>
      <c r="V31" s="41">
        <f t="shared" si="8"/>
        <v>54388809.848875277</v>
      </c>
      <c r="W31" s="41">
        <f t="shared" si="8"/>
        <v>53812288.464477204</v>
      </c>
      <c r="X31" s="41">
        <f t="shared" si="8"/>
        <v>53241878.206753746</v>
      </c>
      <c r="Y31" s="41">
        <f t="shared" si="8"/>
        <v>53872262.044721715</v>
      </c>
      <c r="Z31" s="41">
        <f t="shared" si="8"/>
        <v>54510109.627331212</v>
      </c>
      <c r="AA31" s="41">
        <f t="shared" si="8"/>
        <v>55155509.325318813</v>
      </c>
    </row>
    <row r="32" spans="1:27" s="8" customFormat="1" x14ac:dyDescent="0.25">
      <c r="A32" s="1"/>
      <c r="B32" s="4"/>
      <c r="C32" s="36"/>
      <c r="D32" s="37"/>
      <c r="E32" s="36"/>
      <c r="F32" s="36"/>
      <c r="G32" s="36"/>
      <c r="H32" s="36"/>
      <c r="I32" s="36"/>
      <c r="J32" s="36"/>
      <c r="K32" s="36"/>
      <c r="L32" s="36"/>
      <c r="M32" s="36"/>
      <c r="N32" s="36"/>
      <c r="O32" s="36"/>
      <c r="P32" s="36"/>
      <c r="Q32" s="36"/>
      <c r="R32" s="36"/>
      <c r="S32" s="36"/>
      <c r="T32" s="36"/>
      <c r="U32" s="36"/>
      <c r="V32" s="36"/>
      <c r="W32" s="36"/>
      <c r="X32" s="36"/>
      <c r="Y32" s="36"/>
      <c r="Z32" s="36"/>
      <c r="AA32" s="36"/>
    </row>
    <row r="33" spans="1:27" x14ac:dyDescent="0.25">
      <c r="B33" s="23" t="s">
        <v>0</v>
      </c>
      <c r="C33" s="38"/>
      <c r="D33" s="38"/>
      <c r="E33" s="38"/>
      <c r="F33" s="38"/>
      <c r="G33" s="38"/>
      <c r="H33" s="38"/>
      <c r="I33" s="38"/>
      <c r="J33" s="38"/>
      <c r="K33" s="38"/>
      <c r="L33" s="38"/>
      <c r="M33" s="38"/>
      <c r="N33" s="38"/>
      <c r="O33" s="38"/>
      <c r="P33" s="38"/>
      <c r="Q33" s="38"/>
      <c r="R33" s="38"/>
      <c r="S33" s="38"/>
      <c r="T33" s="38"/>
      <c r="U33" s="38"/>
      <c r="V33" s="38"/>
      <c r="W33" s="38"/>
      <c r="X33" s="38"/>
      <c r="Y33" s="38"/>
      <c r="Z33" s="38"/>
      <c r="AA33" s="38"/>
    </row>
    <row r="34" spans="1:27" hidden="1" outlineLevel="1" x14ac:dyDescent="0.25">
      <c r="B34" s="48" t="s">
        <v>135</v>
      </c>
      <c r="C34" s="194"/>
      <c r="D34" s="192">
        <v>0.02</v>
      </c>
      <c r="E34" s="192">
        <v>0.02</v>
      </c>
      <c r="F34" s="192">
        <v>0.02</v>
      </c>
      <c r="G34" s="192">
        <v>0.02</v>
      </c>
      <c r="H34" s="192">
        <v>0.02</v>
      </c>
      <c r="I34" s="192">
        <v>0.02</v>
      </c>
      <c r="J34" s="192">
        <v>0.02</v>
      </c>
      <c r="K34" s="192">
        <v>0.02</v>
      </c>
      <c r="L34" s="192">
        <v>0.02</v>
      </c>
      <c r="M34" s="192">
        <v>0.02</v>
      </c>
      <c r="N34" s="192">
        <v>0.02</v>
      </c>
      <c r="O34" s="192">
        <v>0.02</v>
      </c>
      <c r="P34" s="192">
        <v>0.02</v>
      </c>
      <c r="Q34" s="192">
        <v>0.02</v>
      </c>
      <c r="R34" s="192">
        <v>0.02</v>
      </c>
      <c r="S34" s="192">
        <v>0.02</v>
      </c>
      <c r="T34" s="192">
        <v>0.02</v>
      </c>
      <c r="U34" s="192">
        <v>0.02</v>
      </c>
      <c r="V34" s="192">
        <v>0.02</v>
      </c>
      <c r="W34" s="192">
        <v>0.02</v>
      </c>
      <c r="X34" s="192">
        <v>0.02</v>
      </c>
      <c r="Y34" s="192">
        <v>0.02</v>
      </c>
      <c r="Z34" s="192">
        <v>0.02</v>
      </c>
      <c r="AA34" s="192">
        <v>0.02</v>
      </c>
    </row>
    <row r="35" spans="1:27" hidden="1" outlineLevel="1" x14ac:dyDescent="0.25">
      <c r="B35" s="48" t="s">
        <v>136</v>
      </c>
      <c r="C35" s="193">
        <f>IF(SimOpt_Var=1,$D$15,$C$15)</f>
        <v>26</v>
      </c>
      <c r="D35" s="193">
        <f>+C35*(1+D34)</f>
        <v>26.52</v>
      </c>
      <c r="E35" s="193">
        <f t="shared" ref="E35:AA35" si="9">+D35*(1+E34)</f>
        <v>27.0504</v>
      </c>
      <c r="F35" s="193">
        <f t="shared" si="9"/>
        <v>27.591408000000001</v>
      </c>
      <c r="G35" s="193">
        <f t="shared" si="9"/>
        <v>28.143236160000001</v>
      </c>
      <c r="H35" s="193">
        <f t="shared" si="9"/>
        <v>28.706100883200001</v>
      </c>
      <c r="I35" s="193">
        <f t="shared" si="9"/>
        <v>29.280222900864</v>
      </c>
      <c r="J35" s="193">
        <f t="shared" si="9"/>
        <v>29.86582735888128</v>
      </c>
      <c r="K35" s="193">
        <f t="shared" si="9"/>
        <v>30.463143906058907</v>
      </c>
      <c r="L35" s="193">
        <f t="shared" si="9"/>
        <v>31.072406784180085</v>
      </c>
      <c r="M35" s="193">
        <f t="shared" si="9"/>
        <v>31.693854919863689</v>
      </c>
      <c r="N35" s="193">
        <f t="shared" si="9"/>
        <v>32.32773201826096</v>
      </c>
      <c r="O35" s="193">
        <f t="shared" si="9"/>
        <v>32.974286658626177</v>
      </c>
      <c r="P35" s="193">
        <f t="shared" si="9"/>
        <v>33.633772391798701</v>
      </c>
      <c r="Q35" s="193">
        <f t="shared" si="9"/>
        <v>34.306447839634679</v>
      </c>
      <c r="R35" s="193">
        <f t="shared" si="9"/>
        <v>34.992576796427372</v>
      </c>
      <c r="S35" s="193">
        <f t="shared" si="9"/>
        <v>35.692428332355917</v>
      </c>
      <c r="T35" s="193">
        <f t="shared" si="9"/>
        <v>36.406276899003032</v>
      </c>
      <c r="U35" s="193">
        <f t="shared" si="9"/>
        <v>37.134402436983095</v>
      </c>
      <c r="V35" s="193">
        <f t="shared" si="9"/>
        <v>37.877090485722761</v>
      </c>
      <c r="W35" s="193">
        <f t="shared" si="9"/>
        <v>38.634632295437214</v>
      </c>
      <c r="X35" s="193">
        <f t="shared" si="9"/>
        <v>39.407324941345962</v>
      </c>
      <c r="Y35" s="193">
        <f t="shared" si="9"/>
        <v>40.195471440172881</v>
      </c>
      <c r="Z35" s="193">
        <f t="shared" si="9"/>
        <v>40.999380868976338</v>
      </c>
      <c r="AA35" s="193">
        <f t="shared" si="9"/>
        <v>41.819368486355863</v>
      </c>
    </row>
    <row r="36" spans="1:27" hidden="1" outlineLevel="1" x14ac:dyDescent="0.25">
      <c r="B36" s="48" t="s">
        <v>48</v>
      </c>
      <c r="C36" s="49">
        <f>(C31/1000)*C35</f>
        <v>304200</v>
      </c>
      <c r="D36" s="49">
        <f t="shared" ref="D36:AA36" si="10">(D31/1000)*D35</f>
        <v>527482.80000000005</v>
      </c>
      <c r="E36" s="49">
        <f t="shared" si="10"/>
        <v>768310.34716800018</v>
      </c>
      <c r="F36" s="49">
        <f t="shared" si="10"/>
        <v>1027735.8238203264</v>
      </c>
      <c r="G36" s="49">
        <f t="shared" si="10"/>
        <v>1086364.4527203101</v>
      </c>
      <c r="H36" s="49">
        <f t="shared" si="10"/>
        <v>1148337.6338359739</v>
      </c>
      <c r="I36" s="49">
        <f t="shared" si="10"/>
        <v>1254466.997955095</v>
      </c>
      <c r="J36" s="49">
        <f t="shared" si="10"/>
        <v>1370404.8379061047</v>
      </c>
      <c r="K36" s="49">
        <f t="shared" si="10"/>
        <v>1536979.1904393975</v>
      </c>
      <c r="L36" s="49">
        <f t="shared" si="10"/>
        <v>1723800.8554123351</v>
      </c>
      <c r="M36" s="49">
        <f t="shared" si="10"/>
        <v>1904635.8393891954</v>
      </c>
      <c r="N36" s="49">
        <f t="shared" si="10"/>
        <v>2104441.2811931511</v>
      </c>
      <c r="O36" s="49">
        <f t="shared" si="10"/>
        <v>2202597.4732070747</v>
      </c>
      <c r="P36" s="49">
        <f t="shared" si="10"/>
        <v>2305331.9055913887</v>
      </c>
      <c r="Q36" s="49">
        <f t="shared" si="10"/>
        <v>2268950.0795901078</v>
      </c>
      <c r="R36" s="49">
        <f t="shared" si="10"/>
        <v>2233142.4170140484</v>
      </c>
      <c r="S36" s="49">
        <f t="shared" si="10"/>
        <v>2174666.2429390848</v>
      </c>
      <c r="T36" s="49">
        <f t="shared" si="10"/>
        <v>2117721.3025679793</v>
      </c>
      <c r="U36" s="49">
        <f t="shared" si="10"/>
        <v>2088706.8265457558</v>
      </c>
      <c r="V36" s="49">
        <f t="shared" si="10"/>
        <v>2060089.8720566183</v>
      </c>
      <c r="W36" s="49">
        <f t="shared" si="10"/>
        <v>2079017.9778010745</v>
      </c>
      <c r="X36" s="49">
        <f t="shared" si="10"/>
        <v>2098119.994981111</v>
      </c>
      <c r="Y36" s="49">
        <f t="shared" si="10"/>
        <v>2165420.9704361209</v>
      </c>
      <c r="Z36" s="49">
        <f t="shared" si="10"/>
        <v>2234880.7458206061</v>
      </c>
      <c r="AA36" s="49">
        <f t="shared" si="10"/>
        <v>2306568.5685281442</v>
      </c>
    </row>
    <row r="37" spans="1:27" collapsed="1" x14ac:dyDescent="0.25">
      <c r="A37" s="83" t="s">
        <v>143</v>
      </c>
      <c r="B37" s="48" t="s">
        <v>49</v>
      </c>
      <c r="C37" s="49">
        <f t="shared" ref="C37:AA37" si="11">IF(C$19&lt;=ProductHorizon,C$36/(1+$C$9)^(C$52-$C$5),0)</f>
        <v>116545.95831897708</v>
      </c>
      <c r="D37" s="49">
        <f t="shared" si="11"/>
        <v>180438.11761170201</v>
      </c>
      <c r="E37" s="49">
        <f t="shared" si="11"/>
        <v>234659.77195401845</v>
      </c>
      <c r="F37" s="49">
        <f t="shared" si="11"/>
        <v>280262.78579957224</v>
      </c>
      <c r="G37" s="49">
        <f t="shared" si="11"/>
        <v>264509.61498518649</v>
      </c>
      <c r="H37" s="49">
        <f t="shared" si="11"/>
        <v>249641.90739774771</v>
      </c>
      <c r="I37" s="49">
        <f t="shared" si="11"/>
        <v>243494.47542807821</v>
      </c>
      <c r="J37" s="49">
        <f t="shared" si="11"/>
        <v>237498.42397066177</v>
      </c>
      <c r="K37" s="49">
        <f t="shared" si="11"/>
        <v>237827.35928786112</v>
      </c>
      <c r="L37" s="49">
        <f t="shared" si="11"/>
        <v>238156.75018047489</v>
      </c>
      <c r="M37" s="49">
        <f t="shared" si="11"/>
        <v>234946.90752393525</v>
      </c>
      <c r="N37" s="49">
        <f t="shared" si="11"/>
        <v>231780.32666817162</v>
      </c>
      <c r="O37" s="49">
        <f t="shared" si="11"/>
        <v>216599.21194353493</v>
      </c>
      <c r="P37" s="49">
        <f t="shared" si="11"/>
        <v>0</v>
      </c>
      <c r="Q37" s="49">
        <f t="shared" si="11"/>
        <v>0</v>
      </c>
      <c r="R37" s="49">
        <f t="shared" si="11"/>
        <v>0</v>
      </c>
      <c r="S37" s="49">
        <f t="shared" si="11"/>
        <v>0</v>
      </c>
      <c r="T37" s="49">
        <f t="shared" si="11"/>
        <v>0</v>
      </c>
      <c r="U37" s="49">
        <f t="shared" si="11"/>
        <v>0</v>
      </c>
      <c r="V37" s="49">
        <f t="shared" si="11"/>
        <v>0</v>
      </c>
      <c r="W37" s="49">
        <f t="shared" si="11"/>
        <v>0</v>
      </c>
      <c r="X37" s="49">
        <f t="shared" si="11"/>
        <v>0</v>
      </c>
      <c r="Y37" s="49">
        <f t="shared" si="11"/>
        <v>0</v>
      </c>
      <c r="Z37" s="49">
        <f t="shared" si="11"/>
        <v>0</v>
      </c>
      <c r="AA37" s="49">
        <f t="shared" si="11"/>
        <v>0</v>
      </c>
    </row>
    <row r="38" spans="1:27" x14ac:dyDescent="0.25">
      <c r="A38" s="4"/>
      <c r="B38" s="4"/>
      <c r="C38" s="38"/>
      <c r="D38" s="38"/>
      <c r="E38" s="38"/>
      <c r="F38" s="38"/>
      <c r="G38" s="38"/>
      <c r="H38" s="38"/>
      <c r="I38" s="38"/>
      <c r="J38" s="38"/>
      <c r="K38" s="38"/>
      <c r="L38" s="38"/>
      <c r="M38" s="38"/>
      <c r="N38" s="38"/>
      <c r="O38" s="38"/>
      <c r="P38" s="38"/>
      <c r="Q38" s="38"/>
      <c r="R38" s="38"/>
      <c r="S38" s="38"/>
      <c r="T38" s="38"/>
      <c r="U38" s="38"/>
      <c r="V38" s="38"/>
      <c r="W38" s="38"/>
      <c r="X38" s="38"/>
      <c r="Y38" s="38"/>
      <c r="Z38" s="38"/>
      <c r="AA38" s="38"/>
    </row>
    <row r="39" spans="1:27" x14ac:dyDescent="0.25">
      <c r="A39" s="4"/>
      <c r="B39" s="23" t="s">
        <v>14</v>
      </c>
      <c r="C39" s="38"/>
      <c r="D39" s="38"/>
      <c r="E39" s="38"/>
      <c r="F39" s="38"/>
      <c r="G39" s="38"/>
      <c r="H39" s="38"/>
      <c r="I39" s="38"/>
      <c r="J39" s="38"/>
      <c r="K39" s="38"/>
      <c r="L39" s="38"/>
      <c r="M39" s="38"/>
      <c r="N39" s="38"/>
      <c r="O39" s="38"/>
      <c r="P39" s="38"/>
      <c r="Q39" s="38"/>
      <c r="R39" s="38"/>
      <c r="S39" s="38"/>
      <c r="T39" s="38"/>
      <c r="U39" s="38"/>
      <c r="V39" s="38"/>
      <c r="W39" s="38"/>
      <c r="X39" s="38"/>
      <c r="Y39" s="38"/>
      <c r="Z39" s="38"/>
      <c r="AA39" s="38"/>
    </row>
    <row r="40" spans="1:27" hidden="1" outlineLevel="1" x14ac:dyDescent="0.25">
      <c r="B40" s="48" t="s">
        <v>50</v>
      </c>
      <c r="C40" s="49">
        <f>-0.2*C36</f>
        <v>-60840</v>
      </c>
      <c r="D40" s="49">
        <f t="shared" ref="D40:AA40" si="12">-0.2*D36</f>
        <v>-105496.56000000001</v>
      </c>
      <c r="E40" s="49">
        <f t="shared" si="12"/>
        <v>-153662.06943360003</v>
      </c>
      <c r="F40" s="49">
        <f t="shared" si="12"/>
        <v>-205547.1647640653</v>
      </c>
      <c r="G40" s="49">
        <f t="shared" si="12"/>
        <v>-217272.89054406201</v>
      </c>
      <c r="H40" s="49">
        <f t="shared" si="12"/>
        <v>-229667.52676719479</v>
      </c>
      <c r="I40" s="49">
        <f t="shared" si="12"/>
        <v>-250893.39959101903</v>
      </c>
      <c r="J40" s="49">
        <f t="shared" si="12"/>
        <v>-274080.96758122096</v>
      </c>
      <c r="K40" s="49">
        <f t="shared" si="12"/>
        <v>-307395.83808787953</v>
      </c>
      <c r="L40" s="49">
        <f t="shared" si="12"/>
        <v>-344760.17108246707</v>
      </c>
      <c r="M40" s="49">
        <f t="shared" si="12"/>
        <v>-380927.16787783912</v>
      </c>
      <c r="N40" s="49">
        <f t="shared" si="12"/>
        <v>-420888.25623863027</v>
      </c>
      <c r="O40" s="49">
        <f t="shared" si="12"/>
        <v>-440519.49464141496</v>
      </c>
      <c r="P40" s="49">
        <f t="shared" si="12"/>
        <v>-461066.38111827779</v>
      </c>
      <c r="Q40" s="49">
        <f t="shared" si="12"/>
        <v>-453790.01591802156</v>
      </c>
      <c r="R40" s="49">
        <f t="shared" si="12"/>
        <v>-446628.48340280971</v>
      </c>
      <c r="S40" s="49">
        <f t="shared" si="12"/>
        <v>-434933.24858781695</v>
      </c>
      <c r="T40" s="49">
        <f t="shared" si="12"/>
        <v>-423544.26051359589</v>
      </c>
      <c r="U40" s="49">
        <f t="shared" si="12"/>
        <v>-417741.36530915118</v>
      </c>
      <c r="V40" s="49">
        <f t="shared" si="12"/>
        <v>-412017.97441132367</v>
      </c>
      <c r="W40" s="49">
        <f t="shared" si="12"/>
        <v>-415803.59556021495</v>
      </c>
      <c r="X40" s="49">
        <f t="shared" si="12"/>
        <v>-419623.99899622222</v>
      </c>
      <c r="Y40" s="49">
        <f t="shared" si="12"/>
        <v>-433084.1940872242</v>
      </c>
      <c r="Z40" s="49">
        <f t="shared" si="12"/>
        <v>-446976.14916412125</v>
      </c>
      <c r="AA40" s="49">
        <f t="shared" si="12"/>
        <v>-461313.71370562888</v>
      </c>
    </row>
    <row r="41" spans="1:27" hidden="1" outlineLevel="1" x14ac:dyDescent="0.25">
      <c r="B41" s="48" t="s">
        <v>51</v>
      </c>
      <c r="C41" s="49">
        <f>-0.5*C36</f>
        <v>-152100</v>
      </c>
      <c r="D41" s="49">
        <f>-0.5*D36</f>
        <v>-263741.40000000002</v>
      </c>
      <c r="E41" s="49">
        <f>-0.409*E36</f>
        <v>-314238.93199171207</v>
      </c>
      <c r="F41" s="49">
        <f t="shared" ref="F41:K41" si="13">-0.409*F36</f>
        <v>-420343.95194251346</v>
      </c>
      <c r="G41" s="49">
        <f t="shared" si="13"/>
        <v>-444323.06116260681</v>
      </c>
      <c r="H41" s="49">
        <f t="shared" si="13"/>
        <v>-469670.09223891329</v>
      </c>
      <c r="I41" s="49">
        <f t="shared" si="13"/>
        <v>-513077.00216363382</v>
      </c>
      <c r="J41" s="49">
        <f t="shared" si="13"/>
        <v>-560495.57870359684</v>
      </c>
      <c r="K41" s="49">
        <f t="shared" si="13"/>
        <v>-628624.48888971354</v>
      </c>
      <c r="L41" s="49">
        <f>-0.065*L36</f>
        <v>-112047.05560180178</v>
      </c>
      <c r="M41" s="49">
        <f t="shared" ref="M41:AA41" si="14">-0.065*M36</f>
        <v>-123801.3295602977</v>
      </c>
      <c r="N41" s="49">
        <f t="shared" si="14"/>
        <v>-136788.68327755484</v>
      </c>
      <c r="O41" s="49">
        <f t="shared" si="14"/>
        <v>-143168.83575845987</v>
      </c>
      <c r="P41" s="49">
        <f t="shared" si="14"/>
        <v>-149846.57386344028</v>
      </c>
      <c r="Q41" s="49">
        <f t="shared" si="14"/>
        <v>-147481.755173357</v>
      </c>
      <c r="R41" s="49">
        <f t="shared" si="14"/>
        <v>-145154.25710591316</v>
      </c>
      <c r="S41" s="49">
        <f t="shared" si="14"/>
        <v>-141353.3057910405</v>
      </c>
      <c r="T41" s="49">
        <f t="shared" si="14"/>
        <v>-137651.88466691866</v>
      </c>
      <c r="U41" s="49">
        <f t="shared" si="14"/>
        <v>-135765.94372547412</v>
      </c>
      <c r="V41" s="49">
        <f t="shared" si="14"/>
        <v>-133905.84168368019</v>
      </c>
      <c r="W41" s="49">
        <f t="shared" si="14"/>
        <v>-135136.16855706985</v>
      </c>
      <c r="X41" s="49">
        <f t="shared" si="14"/>
        <v>-136377.79967377221</v>
      </c>
      <c r="Y41" s="49">
        <f t="shared" si="14"/>
        <v>-140752.36307834787</v>
      </c>
      <c r="Z41" s="49">
        <f t="shared" si="14"/>
        <v>-145267.2484783394</v>
      </c>
      <c r="AA41" s="49">
        <f t="shared" si="14"/>
        <v>-149926.95695432936</v>
      </c>
    </row>
    <row r="42" spans="1:27" hidden="1" outlineLevel="1" x14ac:dyDescent="0.25">
      <c r="B42" s="48" t="s">
        <v>52</v>
      </c>
      <c r="C42" s="49">
        <f>-0.111*C36</f>
        <v>-33766.199999999997</v>
      </c>
      <c r="D42" s="49">
        <f t="shared" ref="D42:AA42" si="15">-0.111*D36</f>
        <v>-58550.590800000005</v>
      </c>
      <c r="E42" s="49">
        <f t="shared" si="15"/>
        <v>-85282.448535648015</v>
      </c>
      <c r="F42" s="49">
        <f t="shared" si="15"/>
        <v>-114078.67644405623</v>
      </c>
      <c r="G42" s="49">
        <f t="shared" si="15"/>
        <v>-120586.45425195442</v>
      </c>
      <c r="H42" s="49">
        <f t="shared" si="15"/>
        <v>-127465.4773557931</v>
      </c>
      <c r="I42" s="49">
        <f t="shared" si="15"/>
        <v>-139245.83677301556</v>
      </c>
      <c r="J42" s="49">
        <f t="shared" si="15"/>
        <v>-152114.93700757762</v>
      </c>
      <c r="K42" s="49">
        <f t="shared" si="15"/>
        <v>-170604.69013877312</v>
      </c>
      <c r="L42" s="49">
        <f t="shared" si="15"/>
        <v>-191341.8949507692</v>
      </c>
      <c r="M42" s="49">
        <f t="shared" si="15"/>
        <v>-211414.57817220071</v>
      </c>
      <c r="N42" s="49">
        <f t="shared" si="15"/>
        <v>-233592.98221243979</v>
      </c>
      <c r="O42" s="49">
        <f t="shared" si="15"/>
        <v>-244488.31952598528</v>
      </c>
      <c r="P42" s="49">
        <f t="shared" si="15"/>
        <v>-255891.84152064414</v>
      </c>
      <c r="Q42" s="49">
        <f t="shared" si="15"/>
        <v>-251853.45883450197</v>
      </c>
      <c r="R42" s="49">
        <f t="shared" si="15"/>
        <v>-247878.80828855938</v>
      </c>
      <c r="S42" s="49">
        <f t="shared" si="15"/>
        <v>-241387.9529662384</v>
      </c>
      <c r="T42" s="49">
        <f t="shared" si="15"/>
        <v>-235067.06458504571</v>
      </c>
      <c r="U42" s="49">
        <f t="shared" si="15"/>
        <v>-231846.4577465789</v>
      </c>
      <c r="V42" s="49">
        <f t="shared" si="15"/>
        <v>-228669.97579828463</v>
      </c>
      <c r="W42" s="49">
        <f t="shared" si="15"/>
        <v>-230770.99553591927</v>
      </c>
      <c r="X42" s="49">
        <f t="shared" si="15"/>
        <v>-232891.31944290333</v>
      </c>
      <c r="Y42" s="49">
        <f t="shared" si="15"/>
        <v>-240361.72771840941</v>
      </c>
      <c r="Z42" s="49">
        <f t="shared" si="15"/>
        <v>-248071.76278608729</v>
      </c>
      <c r="AA42" s="49">
        <f t="shared" si="15"/>
        <v>-256029.11110662401</v>
      </c>
    </row>
    <row r="43" spans="1:27" hidden="1" outlineLevel="1" x14ac:dyDescent="0.25">
      <c r="B43" s="48" t="s">
        <v>53</v>
      </c>
      <c r="C43" s="49">
        <f ca="1">_xll.CB.Triangular(-5000,-3000,-1000)</f>
        <v>-2566.2684014976567</v>
      </c>
      <c r="D43" s="49">
        <f ca="1">0.95*C43</f>
        <v>-2437.9549814227739</v>
      </c>
      <c r="E43" s="49">
        <f t="shared" ref="E43:Q43" ca="1" si="16">0.95*D43</f>
        <v>-2316.0572323516353</v>
      </c>
      <c r="F43" s="49">
        <f t="shared" ca="1" si="16"/>
        <v>-2200.2543707340533</v>
      </c>
      <c r="G43" s="49">
        <f t="shared" ca="1" si="16"/>
        <v>-2090.2416521973505</v>
      </c>
      <c r="H43" s="49">
        <f t="shared" ca="1" si="16"/>
        <v>-1985.729569587483</v>
      </c>
      <c r="I43" s="49">
        <f t="shared" ca="1" si="16"/>
        <v>-1886.4430911081088</v>
      </c>
      <c r="J43" s="49">
        <f t="shared" ca="1" si="16"/>
        <v>-1792.1209365527031</v>
      </c>
      <c r="K43" s="49">
        <f t="shared" ca="1" si="16"/>
        <v>-1702.5148897250679</v>
      </c>
      <c r="L43" s="49">
        <f t="shared" ca="1" si="16"/>
        <v>-1617.3891452388143</v>
      </c>
      <c r="M43" s="49">
        <f t="shared" ca="1" si="16"/>
        <v>-1536.5196879768735</v>
      </c>
      <c r="N43" s="49">
        <f t="shared" ca="1" si="16"/>
        <v>-1459.6937035780297</v>
      </c>
      <c r="O43" s="49">
        <f t="shared" ca="1" si="16"/>
        <v>-1386.7090183991281</v>
      </c>
      <c r="P43" s="49">
        <f t="shared" ca="1" si="16"/>
        <v>-1317.3735674791717</v>
      </c>
      <c r="Q43" s="49">
        <f t="shared" ca="1" si="16"/>
        <v>-1251.5048891052131</v>
      </c>
      <c r="R43" s="49">
        <f t="shared" ref="R43:AA43" ca="1" si="17">0.9*Q43</f>
        <v>-1126.3544001946918</v>
      </c>
      <c r="S43" s="49">
        <f t="shared" ca="1" si="17"/>
        <v>-1013.7189601752227</v>
      </c>
      <c r="T43" s="49">
        <f t="shared" ca="1" si="17"/>
        <v>-912.34706415770052</v>
      </c>
      <c r="U43" s="49">
        <f t="shared" ca="1" si="17"/>
        <v>-821.11235774193051</v>
      </c>
      <c r="V43" s="49">
        <f t="shared" ca="1" si="17"/>
        <v>-739.0011219677375</v>
      </c>
      <c r="W43" s="49">
        <f t="shared" ca="1" si="17"/>
        <v>-665.10100977096374</v>
      </c>
      <c r="X43" s="49">
        <f t="shared" ca="1" si="17"/>
        <v>-598.59090879386736</v>
      </c>
      <c r="Y43" s="49">
        <f t="shared" ca="1" si="17"/>
        <v>-538.73181791448064</v>
      </c>
      <c r="Z43" s="49">
        <f t="shared" ca="1" si="17"/>
        <v>-484.85863612303257</v>
      </c>
      <c r="AA43" s="49">
        <f t="shared" ca="1" si="17"/>
        <v>-436.37277251072931</v>
      </c>
    </row>
    <row r="44" spans="1:27" hidden="1" outlineLevel="1" x14ac:dyDescent="0.25">
      <c r="B44" s="48" t="s">
        <v>54</v>
      </c>
      <c r="C44" s="49">
        <f>-0.07*C36</f>
        <v>-21294.000000000004</v>
      </c>
      <c r="D44" s="49">
        <f t="shared" ref="D44:AA44" si="18">-0.07*D36</f>
        <v>-36923.796000000009</v>
      </c>
      <c r="E44" s="49">
        <f t="shared" si="18"/>
        <v>-53781.724301760019</v>
      </c>
      <c r="F44" s="49">
        <f t="shared" si="18"/>
        <v>-71941.507667422848</v>
      </c>
      <c r="G44" s="49">
        <f t="shared" si="18"/>
        <v>-76045.511690421714</v>
      </c>
      <c r="H44" s="49">
        <f t="shared" si="18"/>
        <v>-80383.634368518178</v>
      </c>
      <c r="I44" s="49">
        <f t="shared" si="18"/>
        <v>-87812.689856856654</v>
      </c>
      <c r="J44" s="49">
        <f t="shared" si="18"/>
        <v>-95928.338653427345</v>
      </c>
      <c r="K44" s="49">
        <f t="shared" si="18"/>
        <v>-107588.54333075784</v>
      </c>
      <c r="L44" s="49">
        <f t="shared" si="18"/>
        <v>-120666.05987886347</v>
      </c>
      <c r="M44" s="49">
        <f t="shared" si="18"/>
        <v>-133324.50875724369</v>
      </c>
      <c r="N44" s="49">
        <f t="shared" si="18"/>
        <v>-147310.8896835206</v>
      </c>
      <c r="O44" s="49">
        <f t="shared" si="18"/>
        <v>-154181.82312449525</v>
      </c>
      <c r="P44" s="49">
        <f t="shared" si="18"/>
        <v>-161373.23339139723</v>
      </c>
      <c r="Q44" s="49">
        <f t="shared" si="18"/>
        <v>-158826.50557130756</v>
      </c>
      <c r="R44" s="49">
        <f t="shared" si="18"/>
        <v>-156319.96919098339</v>
      </c>
      <c r="S44" s="49">
        <f t="shared" si="18"/>
        <v>-152226.63700573595</v>
      </c>
      <c r="T44" s="49">
        <f t="shared" si="18"/>
        <v>-148240.49117975857</v>
      </c>
      <c r="U44" s="49">
        <f t="shared" si="18"/>
        <v>-146209.47785820291</v>
      </c>
      <c r="V44" s="49">
        <f t="shared" si="18"/>
        <v>-144206.29104396328</v>
      </c>
      <c r="W44" s="49">
        <f t="shared" si="18"/>
        <v>-145531.25844607523</v>
      </c>
      <c r="X44" s="49">
        <f t="shared" si="18"/>
        <v>-146868.39964867779</v>
      </c>
      <c r="Y44" s="49">
        <f t="shared" si="18"/>
        <v>-151579.46793052848</v>
      </c>
      <c r="Z44" s="49">
        <f t="shared" si="18"/>
        <v>-156441.65220744244</v>
      </c>
      <c r="AA44" s="49">
        <f t="shared" si="18"/>
        <v>-161459.7997969701</v>
      </c>
    </row>
    <row r="45" spans="1:27" collapsed="1" x14ac:dyDescent="0.25">
      <c r="A45" s="83" t="s">
        <v>143</v>
      </c>
      <c r="B45" s="48" t="s">
        <v>49</v>
      </c>
      <c r="C45" s="49">
        <f t="shared" ref="C45:AA45" ca="1" si="19">IF(C$19&lt;=ProductHorizon,SUM(C$40:C$44)/(1+$C$9)^(C$52-$C$5),0)</f>
        <v>-103660.18523613997</v>
      </c>
      <c r="D45" s="49">
        <f t="shared" ca="1" si="19"/>
        <v>-159799.94247239616</v>
      </c>
      <c r="E45" s="49">
        <f t="shared" ca="1" si="19"/>
        <v>-186088.59735587309</v>
      </c>
      <c r="F45" s="49">
        <f t="shared" ca="1" si="19"/>
        <v>-222007.60849290193</v>
      </c>
      <c r="G45" s="49">
        <f t="shared" ca="1" si="19"/>
        <v>-209471.53095050968</v>
      </c>
      <c r="H45" s="49">
        <f t="shared" ca="1" si="19"/>
        <v>-197648.79287690081</v>
      </c>
      <c r="I45" s="49">
        <f t="shared" ca="1" si="19"/>
        <v>-192726.7978480444</v>
      </c>
      <c r="J45" s="49">
        <f t="shared" ca="1" si="19"/>
        <v>-187934.33899652769</v>
      </c>
      <c r="K45" s="49">
        <f t="shared" ca="1" si="19"/>
        <v>-188147.05567376711</v>
      </c>
      <c r="L45" s="49">
        <f t="shared" ca="1" si="19"/>
        <v>-106441.36570954447</v>
      </c>
      <c r="M45" s="49">
        <f t="shared" ca="1" si="19"/>
        <v>-104975.85858835373</v>
      </c>
      <c r="N45" s="49">
        <f t="shared" ca="1" si="19"/>
        <v>-103534.79439136585</v>
      </c>
      <c r="O45" s="49">
        <f t="shared" ca="1" si="19"/>
        <v>-96739.614832614126</v>
      </c>
      <c r="P45" s="49">
        <f t="shared" si="19"/>
        <v>0</v>
      </c>
      <c r="Q45" s="49">
        <f t="shared" si="19"/>
        <v>0</v>
      </c>
      <c r="R45" s="49">
        <f t="shared" si="19"/>
        <v>0</v>
      </c>
      <c r="S45" s="49">
        <f t="shared" si="19"/>
        <v>0</v>
      </c>
      <c r="T45" s="49">
        <f t="shared" si="19"/>
        <v>0</v>
      </c>
      <c r="U45" s="49">
        <f t="shared" si="19"/>
        <v>0</v>
      </c>
      <c r="V45" s="49">
        <f t="shared" si="19"/>
        <v>0</v>
      </c>
      <c r="W45" s="49">
        <f t="shared" si="19"/>
        <v>0</v>
      </c>
      <c r="X45" s="49">
        <f t="shared" si="19"/>
        <v>0</v>
      </c>
      <c r="Y45" s="49">
        <f t="shared" si="19"/>
        <v>0</v>
      </c>
      <c r="Z45" s="49">
        <f t="shared" si="19"/>
        <v>0</v>
      </c>
      <c r="AA45" s="49">
        <f t="shared" si="19"/>
        <v>0</v>
      </c>
    </row>
    <row r="46" spans="1:27" x14ac:dyDescent="0.25">
      <c r="B46" s="4"/>
      <c r="C46" s="38"/>
      <c r="D46" s="38"/>
      <c r="E46" s="38"/>
      <c r="F46" s="38"/>
      <c r="G46" s="38"/>
      <c r="H46" s="38"/>
      <c r="I46" s="38"/>
      <c r="J46" s="38"/>
      <c r="K46" s="38"/>
      <c r="L46" s="38"/>
      <c r="M46" s="38"/>
      <c r="N46" s="38"/>
      <c r="O46" s="38"/>
      <c r="P46" s="38"/>
      <c r="Q46" s="38"/>
      <c r="R46" s="38"/>
      <c r="S46" s="38"/>
      <c r="T46" s="38"/>
      <c r="U46" s="38"/>
      <c r="V46" s="38"/>
      <c r="W46" s="38"/>
      <c r="X46" s="38"/>
      <c r="Y46" s="38"/>
      <c r="Z46" s="38"/>
      <c r="AA46" s="38"/>
    </row>
    <row r="47" spans="1:27" x14ac:dyDescent="0.25">
      <c r="B47" s="23" t="s">
        <v>15</v>
      </c>
      <c r="C47" s="38"/>
      <c r="D47" s="38"/>
      <c r="E47" s="38"/>
      <c r="F47" s="38"/>
      <c r="G47" s="38"/>
      <c r="H47" s="38"/>
      <c r="I47" s="38"/>
      <c r="J47" s="38"/>
      <c r="K47" s="38"/>
      <c r="L47" s="38"/>
      <c r="M47" s="38"/>
      <c r="N47" s="38"/>
      <c r="O47" s="38"/>
      <c r="P47" s="38"/>
      <c r="Q47" s="38"/>
      <c r="R47" s="38"/>
      <c r="S47" s="38"/>
      <c r="T47" s="38"/>
      <c r="U47" s="38"/>
      <c r="V47" s="38"/>
      <c r="W47" s="38"/>
      <c r="X47" s="38"/>
      <c r="Y47" s="38"/>
      <c r="Z47" s="38"/>
      <c r="AA47" s="38"/>
    </row>
    <row r="48" spans="1:27" x14ac:dyDescent="0.25">
      <c r="B48" s="48" t="s">
        <v>1</v>
      </c>
      <c r="C48" s="49">
        <f ca="1">IF(C$19&lt;=ProductHorizon,C36+SUM(C40:C44)+IF(SimOpt_Var=2,C13,D13),0)</f>
        <v>-166366.4684014977</v>
      </c>
      <c r="D48" s="49">
        <f t="shared" ref="D48:AA48" ca="1" si="20">IF(D$19&lt;=ProductHorizon,D36+SUM(D40:D44),0)</f>
        <v>60332.498218577239</v>
      </c>
      <c r="E48" s="49">
        <f t="shared" ca="1" si="20"/>
        <v>159029.1156729284</v>
      </c>
      <c r="F48" s="49">
        <f t="shared" ca="1" si="20"/>
        <v>213624.26863153442</v>
      </c>
      <c r="G48" s="49">
        <f t="shared" ca="1" si="20"/>
        <v>226046.29341906775</v>
      </c>
      <c r="H48" s="49">
        <f t="shared" ca="1" si="20"/>
        <v>239165.17353596713</v>
      </c>
      <c r="I48" s="49">
        <f t="shared" ca="1" si="20"/>
        <v>261551.62647946179</v>
      </c>
      <c r="J48" s="49">
        <f t="shared" ca="1" si="20"/>
        <v>285992.89502372919</v>
      </c>
      <c r="K48" s="49">
        <f t="shared" ca="1" si="20"/>
        <v>321063.11510254839</v>
      </c>
      <c r="L48" s="49">
        <f t="shared" ca="1" si="20"/>
        <v>953368.28475319478</v>
      </c>
      <c r="M48" s="49">
        <f t="shared" ca="1" si="20"/>
        <v>1053631.7353336373</v>
      </c>
      <c r="N48" s="49">
        <f t="shared" ca="1" si="20"/>
        <v>1164400.7760774277</v>
      </c>
      <c r="O48" s="49">
        <f t="shared" ca="1" si="20"/>
        <v>1218852.2911383202</v>
      </c>
      <c r="P48" s="49">
        <f t="shared" si="20"/>
        <v>0</v>
      </c>
      <c r="Q48" s="49">
        <f t="shared" si="20"/>
        <v>0</v>
      </c>
      <c r="R48" s="49">
        <f t="shared" si="20"/>
        <v>0</v>
      </c>
      <c r="S48" s="49">
        <f t="shared" si="20"/>
        <v>0</v>
      </c>
      <c r="T48" s="49">
        <f t="shared" si="20"/>
        <v>0</v>
      </c>
      <c r="U48" s="49">
        <f t="shared" si="20"/>
        <v>0</v>
      </c>
      <c r="V48" s="49">
        <f t="shared" si="20"/>
        <v>0</v>
      </c>
      <c r="W48" s="49">
        <f t="shared" si="20"/>
        <v>0</v>
      </c>
      <c r="X48" s="49">
        <f t="shared" si="20"/>
        <v>0</v>
      </c>
      <c r="Y48" s="49">
        <f t="shared" si="20"/>
        <v>0</v>
      </c>
      <c r="Z48" s="49">
        <f t="shared" si="20"/>
        <v>0</v>
      </c>
      <c r="AA48" s="49">
        <f t="shared" si="20"/>
        <v>0</v>
      </c>
    </row>
    <row r="49" spans="2:27" x14ac:dyDescent="0.25">
      <c r="B49" s="48" t="s">
        <v>49</v>
      </c>
      <c r="C49" s="49">
        <f t="shared" ref="C49:AA49" ca="1" si="21">IF(C$19&lt;=ProductHorizon,C48/(1+$C$9)^(C$52-$C$5),0)</f>
        <v>-63738.788599593579</v>
      </c>
      <c r="D49" s="49">
        <f t="shared" ca="1" si="21"/>
        <v>20638.175139305851</v>
      </c>
      <c r="E49" s="49">
        <f t="shared" ca="1" si="21"/>
        <v>48571.174598145342</v>
      </c>
      <c r="F49" s="49">
        <f t="shared" ca="1" si="21"/>
        <v>58255.177306670332</v>
      </c>
      <c r="G49" s="49">
        <f t="shared" ca="1" si="21"/>
        <v>55038.084034676809</v>
      </c>
      <c r="H49" s="49">
        <f t="shared" ca="1" si="21"/>
        <v>51993.114520846924</v>
      </c>
      <c r="I49" s="49">
        <f t="shared" ca="1" si="21"/>
        <v>50767.677580033815</v>
      </c>
      <c r="J49" s="49">
        <f t="shared" ca="1" si="21"/>
        <v>49564.084974134064</v>
      </c>
      <c r="K49" s="49">
        <f t="shared" ca="1" si="21"/>
        <v>49680.303614094017</v>
      </c>
      <c r="L49" s="49">
        <f t="shared" ca="1" si="21"/>
        <v>131715.38447093041</v>
      </c>
      <c r="M49" s="49">
        <f t="shared" ca="1" si="21"/>
        <v>129971.04893558152</v>
      </c>
      <c r="N49" s="49">
        <f t="shared" ca="1" si="21"/>
        <v>128245.53227680577</v>
      </c>
      <c r="O49" s="49">
        <f t="shared" ca="1" si="21"/>
        <v>119859.59711092082</v>
      </c>
      <c r="P49" s="49">
        <f t="shared" si="21"/>
        <v>0</v>
      </c>
      <c r="Q49" s="49">
        <f t="shared" si="21"/>
        <v>0</v>
      </c>
      <c r="R49" s="49">
        <f t="shared" si="21"/>
        <v>0</v>
      </c>
      <c r="S49" s="49">
        <f t="shared" si="21"/>
        <v>0</v>
      </c>
      <c r="T49" s="49">
        <f t="shared" si="21"/>
        <v>0</v>
      </c>
      <c r="U49" s="49">
        <f t="shared" si="21"/>
        <v>0</v>
      </c>
      <c r="V49" s="49">
        <f t="shared" si="21"/>
        <v>0</v>
      </c>
      <c r="W49" s="49">
        <f t="shared" si="21"/>
        <v>0</v>
      </c>
      <c r="X49" s="49">
        <f t="shared" si="21"/>
        <v>0</v>
      </c>
      <c r="Y49" s="49">
        <f t="shared" si="21"/>
        <v>0</v>
      </c>
      <c r="Z49" s="49">
        <f t="shared" si="21"/>
        <v>0</v>
      </c>
      <c r="AA49" s="49">
        <f t="shared" si="21"/>
        <v>0</v>
      </c>
    </row>
    <row r="50" spans="2:27" x14ac:dyDescent="0.25">
      <c r="B50" s="48" t="s">
        <v>55</v>
      </c>
      <c r="C50" s="49">
        <f ca="1">SUM(J8:L8) + C48</f>
        <v>-235686.66607515106</v>
      </c>
      <c r="D50" s="49">
        <f ca="1">C50+D48</f>
        <v>-175354.16785657383</v>
      </c>
      <c r="E50" s="49">
        <f ca="1">D50+E48</f>
        <v>-16325.052183645428</v>
      </c>
      <c r="F50" s="49">
        <f t="shared" ref="F50:AA50" ca="1" si="22">E50+F48</f>
        <v>197299.21644788899</v>
      </c>
      <c r="G50" s="49">
        <f t="shared" ca="1" si="22"/>
        <v>423345.50986695674</v>
      </c>
      <c r="H50" s="49">
        <f t="shared" ca="1" si="22"/>
        <v>662510.68340292387</v>
      </c>
      <c r="I50" s="49">
        <f t="shared" ca="1" si="22"/>
        <v>924062.30988238566</v>
      </c>
      <c r="J50" s="49">
        <f t="shared" ca="1" si="22"/>
        <v>1210055.2049061148</v>
      </c>
      <c r="K50" s="49">
        <f t="shared" ca="1" si="22"/>
        <v>1531118.3200086632</v>
      </c>
      <c r="L50" s="49">
        <f t="shared" ca="1" si="22"/>
        <v>2484486.604761858</v>
      </c>
      <c r="M50" s="49">
        <f t="shared" ca="1" si="22"/>
        <v>3538118.3400954953</v>
      </c>
      <c r="N50" s="49">
        <f t="shared" ca="1" si="22"/>
        <v>4702519.1161729228</v>
      </c>
      <c r="O50" s="49">
        <f t="shared" ca="1" si="22"/>
        <v>5921371.407311243</v>
      </c>
      <c r="P50" s="49">
        <f t="shared" ca="1" si="22"/>
        <v>5921371.407311243</v>
      </c>
      <c r="Q50" s="49">
        <f t="shared" ca="1" si="22"/>
        <v>5921371.407311243</v>
      </c>
      <c r="R50" s="49">
        <f t="shared" ca="1" si="22"/>
        <v>5921371.407311243</v>
      </c>
      <c r="S50" s="49">
        <f t="shared" ca="1" si="22"/>
        <v>5921371.407311243</v>
      </c>
      <c r="T50" s="49">
        <f t="shared" ca="1" si="22"/>
        <v>5921371.407311243</v>
      </c>
      <c r="U50" s="49">
        <f t="shared" ca="1" si="22"/>
        <v>5921371.407311243</v>
      </c>
      <c r="V50" s="49">
        <f t="shared" ca="1" si="22"/>
        <v>5921371.407311243</v>
      </c>
      <c r="W50" s="49">
        <f t="shared" ca="1" si="22"/>
        <v>5921371.407311243</v>
      </c>
      <c r="X50" s="49">
        <f t="shared" ca="1" si="22"/>
        <v>5921371.407311243</v>
      </c>
      <c r="Y50" s="49">
        <f t="shared" ca="1" si="22"/>
        <v>5921371.407311243</v>
      </c>
      <c r="Z50" s="49">
        <f t="shared" ca="1" si="22"/>
        <v>5921371.407311243</v>
      </c>
      <c r="AA50" s="49">
        <f t="shared" ca="1" si="22"/>
        <v>5921371.407311243</v>
      </c>
    </row>
    <row r="51" spans="2:27" x14ac:dyDescent="0.25">
      <c r="Q51" s="7"/>
      <c r="R51" s="7"/>
      <c r="S51" s="7"/>
      <c r="T51" s="7"/>
      <c r="U51" s="7"/>
      <c r="V51" s="7"/>
      <c r="W51" s="7"/>
      <c r="X51" s="7"/>
      <c r="Y51" s="7"/>
      <c r="Z51" s="7"/>
      <c r="AA51" s="7"/>
    </row>
    <row r="52" spans="2:27" x14ac:dyDescent="0.25">
      <c r="B52" s="47" t="s">
        <v>12</v>
      </c>
      <c r="C52" s="45">
        <f>Production_Start</f>
        <v>8.465638598061787</v>
      </c>
      <c r="D52" s="45">
        <f t="shared" ref="D52:AA52" si="23">C52 + 1</f>
        <v>9.465638598061787</v>
      </c>
      <c r="E52" s="45">
        <f t="shared" si="23"/>
        <v>10.465638598061787</v>
      </c>
      <c r="F52" s="45">
        <f t="shared" si="23"/>
        <v>11.465638598061787</v>
      </c>
      <c r="G52" s="45">
        <f t="shared" si="23"/>
        <v>12.465638598061787</v>
      </c>
      <c r="H52" s="45">
        <f t="shared" si="23"/>
        <v>13.465638598061787</v>
      </c>
      <c r="I52" s="45">
        <f t="shared" si="23"/>
        <v>14.465638598061787</v>
      </c>
      <c r="J52" s="45">
        <f t="shared" si="23"/>
        <v>15.465638598061787</v>
      </c>
      <c r="K52" s="45">
        <f t="shared" si="23"/>
        <v>16.465638598061787</v>
      </c>
      <c r="L52" s="46">
        <f t="shared" si="23"/>
        <v>17.465638598061787</v>
      </c>
      <c r="M52" s="45">
        <f t="shared" si="23"/>
        <v>18.465638598061787</v>
      </c>
      <c r="N52" s="45">
        <f t="shared" si="23"/>
        <v>19.465638598061787</v>
      </c>
      <c r="O52" s="45">
        <f t="shared" si="23"/>
        <v>20.465638598061787</v>
      </c>
      <c r="P52" s="45">
        <f t="shared" si="23"/>
        <v>21.465638598061787</v>
      </c>
      <c r="Q52" s="45">
        <f t="shared" si="23"/>
        <v>22.465638598061787</v>
      </c>
      <c r="R52" s="45">
        <f t="shared" si="23"/>
        <v>23.465638598061787</v>
      </c>
      <c r="S52" s="45">
        <f t="shared" si="23"/>
        <v>24.465638598061787</v>
      </c>
      <c r="T52" s="45">
        <f t="shared" si="23"/>
        <v>25.465638598061787</v>
      </c>
      <c r="U52" s="45">
        <f t="shared" si="23"/>
        <v>26.465638598061787</v>
      </c>
      <c r="V52" s="45">
        <f t="shared" si="23"/>
        <v>27.465638598061787</v>
      </c>
      <c r="W52" s="45">
        <f t="shared" si="23"/>
        <v>28.465638598061787</v>
      </c>
      <c r="X52" s="45">
        <f t="shared" si="23"/>
        <v>29.465638598061787</v>
      </c>
      <c r="Y52" s="45">
        <f t="shared" si="23"/>
        <v>30.465638598061787</v>
      </c>
      <c r="Z52" s="45">
        <f t="shared" si="23"/>
        <v>31.465638598061787</v>
      </c>
      <c r="AA52" s="46">
        <f t="shared" si="23"/>
        <v>32.465638598061787</v>
      </c>
    </row>
    <row r="53" spans="2:27" x14ac:dyDescent="0.25">
      <c r="Q53" s="7"/>
      <c r="R53" s="7"/>
      <c r="S53" s="7"/>
      <c r="T53" s="7"/>
      <c r="U53" s="7"/>
      <c r="V53" s="7"/>
      <c r="W53" s="7"/>
      <c r="X53" s="7"/>
      <c r="Y53" s="7"/>
      <c r="Z53" s="7"/>
      <c r="AA53" s="7"/>
    </row>
    <row r="54" spans="2:27" x14ac:dyDescent="0.25">
      <c r="Q54" s="7"/>
      <c r="R54" s="7"/>
      <c r="S54" s="7"/>
      <c r="T54" s="7"/>
      <c r="U54" s="7"/>
      <c r="V54" s="7"/>
      <c r="W54" s="7"/>
      <c r="X54" s="7"/>
      <c r="Y54" s="7"/>
      <c r="Z54" s="7"/>
      <c r="AA54" s="7"/>
    </row>
    <row r="55" spans="2:27" x14ac:dyDescent="0.25">
      <c r="B55" s="8"/>
      <c r="D55" s="17"/>
      <c r="E55" s="17"/>
      <c r="F55" s="17"/>
      <c r="G55" s="17"/>
      <c r="H55" s="17"/>
      <c r="I55" s="17"/>
      <c r="J55" s="17"/>
      <c r="K55" s="17"/>
      <c r="L55" s="17"/>
      <c r="M55" s="17"/>
      <c r="N55"/>
      <c r="O55"/>
      <c r="P55" s="14"/>
      <c r="Q55" s="11"/>
      <c r="R55" s="15"/>
      <c r="S55" s="15"/>
      <c r="T55" s="15"/>
      <c r="U55" s="15"/>
      <c r="V55" s="15"/>
      <c r="W55" s="15"/>
      <c r="X55" s="15"/>
      <c r="Y55" s="15"/>
      <c r="Z55" s="15"/>
      <c r="AA55" s="16"/>
    </row>
    <row r="56" spans="2:27" x14ac:dyDescent="0.25">
      <c r="D56" s="17"/>
      <c r="E56" s="17"/>
      <c r="F56" s="17"/>
      <c r="G56" s="17"/>
      <c r="H56" s="17"/>
      <c r="I56" s="17"/>
      <c r="J56" s="17"/>
      <c r="K56" s="17"/>
      <c r="L56" s="17"/>
      <c r="M56" s="17"/>
      <c r="N56"/>
      <c r="O56"/>
      <c r="P56" s="17"/>
      <c r="Q56" s="11"/>
      <c r="R56" s="11"/>
      <c r="S56" s="11"/>
      <c r="T56" s="11"/>
      <c r="U56" s="11"/>
      <c r="V56" s="11"/>
      <c r="W56" s="11"/>
      <c r="X56" s="11"/>
      <c r="Y56" s="11"/>
      <c r="Z56" s="11"/>
      <c r="AA56" s="12"/>
    </row>
    <row r="57" spans="2:27" x14ac:dyDescent="0.25">
      <c r="D57" s="17"/>
      <c r="E57" s="17"/>
      <c r="F57" s="17"/>
      <c r="G57" s="17"/>
      <c r="H57" s="17"/>
      <c r="I57" s="17"/>
      <c r="J57" s="17"/>
      <c r="K57" s="17"/>
      <c r="L57" s="17"/>
      <c r="M57" s="17"/>
      <c r="N57"/>
      <c r="O57"/>
      <c r="P57" s="17"/>
      <c r="Q57" s="11"/>
      <c r="R57" s="11"/>
      <c r="S57" s="11"/>
      <c r="T57" s="11"/>
      <c r="U57" s="11"/>
      <c r="V57" s="11"/>
      <c r="W57" s="11"/>
      <c r="X57" s="11"/>
      <c r="Y57" s="11"/>
      <c r="Z57" s="11"/>
      <c r="AA57" s="12"/>
    </row>
    <row r="58" spans="2:27" x14ac:dyDescent="0.25">
      <c r="D58" s="17"/>
      <c r="E58" s="17"/>
      <c r="F58" s="17"/>
      <c r="G58" s="17"/>
      <c r="H58" s="17"/>
      <c r="I58" s="17"/>
      <c r="J58" s="17"/>
      <c r="K58" s="17"/>
      <c r="L58" s="17"/>
      <c r="M58" s="17"/>
      <c r="N58"/>
      <c r="O58"/>
      <c r="P58" s="17"/>
      <c r="Q58" s="11"/>
      <c r="R58" s="11"/>
      <c r="S58" s="11"/>
      <c r="T58" s="11"/>
      <c r="U58" s="11"/>
      <c r="V58" s="11"/>
      <c r="W58" s="11"/>
      <c r="X58" s="11"/>
      <c r="Y58" s="11"/>
      <c r="Z58" s="11"/>
      <c r="AA58" s="12"/>
    </row>
    <row r="59" spans="2:27" x14ac:dyDescent="0.25">
      <c r="D59" s="17"/>
      <c r="E59" s="17"/>
      <c r="F59" s="17"/>
      <c r="G59" s="17"/>
      <c r="H59" s="17"/>
      <c r="I59" s="17"/>
      <c r="J59" s="17"/>
      <c r="K59" s="17"/>
      <c r="L59" s="17"/>
      <c r="M59" s="17"/>
      <c r="N59"/>
      <c r="O59"/>
      <c r="P59" s="17"/>
      <c r="Q59" s="11"/>
      <c r="R59" s="18"/>
      <c r="S59" s="18"/>
      <c r="T59" s="18"/>
      <c r="U59" s="18"/>
      <c r="V59" s="18"/>
      <c r="W59" s="18"/>
      <c r="X59" s="18"/>
      <c r="Y59" s="18"/>
      <c r="Z59" s="18"/>
      <c r="AA59" s="13"/>
    </row>
    <row r="60" spans="2:27" x14ac:dyDescent="0.25">
      <c r="D60" s="4"/>
      <c r="E60" s="4"/>
      <c r="F60" s="4"/>
      <c r="G60" s="4"/>
      <c r="H60" s="4"/>
      <c r="I60" s="4"/>
      <c r="J60" s="4"/>
      <c r="K60" s="4"/>
      <c r="L60" s="4"/>
      <c r="M60" s="4"/>
      <c r="N60" s="4"/>
      <c r="O60" s="4"/>
      <c r="P60" s="4"/>
      <c r="Q60" s="4"/>
    </row>
    <row r="61" spans="2:27" x14ac:dyDescent="0.25">
      <c r="B61" s="8"/>
      <c r="D61" s="4"/>
      <c r="E61" s="4"/>
      <c r="F61" s="4"/>
      <c r="G61" s="4"/>
      <c r="H61" s="4"/>
      <c r="I61" s="4"/>
      <c r="J61" s="4"/>
      <c r="K61" s="4"/>
      <c r="L61" s="4"/>
      <c r="M61" s="4"/>
      <c r="N61" s="4"/>
      <c r="O61" s="4"/>
      <c r="P61" s="4"/>
    </row>
    <row r="62" spans="2:27" x14ac:dyDescent="0.25">
      <c r="D62" s="4"/>
      <c r="E62" s="4"/>
      <c r="F62" s="4"/>
      <c r="G62" s="4"/>
      <c r="H62" s="4"/>
      <c r="I62" s="4"/>
      <c r="J62" s="4"/>
      <c r="K62" s="4"/>
      <c r="L62" s="4"/>
      <c r="M62" s="4"/>
      <c r="N62" s="4"/>
      <c r="O62" s="4"/>
      <c r="P62" s="4"/>
    </row>
    <row r="63" spans="2:27" x14ac:dyDescent="0.25">
      <c r="D63" s="1"/>
      <c r="E63" s="1"/>
      <c r="F63" s="1"/>
      <c r="G63" s="1"/>
      <c r="H63" s="1"/>
      <c r="I63" s="1"/>
      <c r="J63" s="1"/>
      <c r="K63" s="1"/>
      <c r="L63" s="1"/>
      <c r="M63" s="1"/>
      <c r="N63" s="1"/>
      <c r="O63" s="1" t="s">
        <v>3</v>
      </c>
      <c r="P63" s="1"/>
    </row>
    <row r="64" spans="2:27" x14ac:dyDescent="0.25">
      <c r="D64" s="1"/>
      <c r="E64" s="1"/>
      <c r="F64" s="1"/>
      <c r="G64" s="1"/>
      <c r="H64" s="1"/>
      <c r="I64" s="1"/>
      <c r="J64" s="1"/>
      <c r="K64" s="1"/>
      <c r="L64" s="1"/>
      <c r="M64" s="1"/>
      <c r="N64" s="1"/>
      <c r="O64" s="1"/>
      <c r="P64" s="1"/>
    </row>
    <row r="65" spans="4:16" x14ac:dyDescent="0.25">
      <c r="D65" s="1"/>
      <c r="E65" s="1"/>
      <c r="F65" s="1"/>
      <c r="G65" s="1"/>
      <c r="H65" s="1"/>
      <c r="I65" s="1"/>
      <c r="J65" s="1"/>
      <c r="K65" s="1"/>
      <c r="L65" s="1"/>
      <c r="M65" s="1"/>
      <c r="N65" s="1"/>
      <c r="O65" s="1"/>
      <c r="P65" s="1"/>
    </row>
    <row r="66" spans="4:16" x14ac:dyDescent="0.25">
      <c r="D66" s="1"/>
      <c r="E66" s="1"/>
      <c r="F66" s="1"/>
      <c r="G66" s="1"/>
      <c r="H66" s="1"/>
      <c r="I66" s="1"/>
      <c r="J66" s="1"/>
      <c r="K66" s="1"/>
      <c r="L66" s="1"/>
      <c r="M66" s="1"/>
      <c r="N66" s="1"/>
      <c r="O66" s="1"/>
      <c r="P66" s="1"/>
    </row>
    <row r="67" spans="4:16" x14ac:dyDescent="0.25">
      <c r="D67" s="1"/>
      <c r="E67" s="1"/>
      <c r="F67" s="1"/>
      <c r="G67" s="1"/>
      <c r="H67" s="1"/>
      <c r="I67" s="1"/>
      <c r="J67" s="1"/>
      <c r="K67" s="1"/>
      <c r="L67" s="1"/>
      <c r="M67" s="1"/>
      <c r="N67" s="1"/>
      <c r="O67" s="1"/>
      <c r="P67" s="1"/>
    </row>
    <row r="68" spans="4:16" x14ac:dyDescent="0.25">
      <c r="D68" s="1"/>
      <c r="E68" s="1"/>
      <c r="F68" s="1"/>
      <c r="G68" s="1"/>
      <c r="H68" s="1"/>
      <c r="I68" s="1"/>
      <c r="J68" s="1"/>
      <c r="K68" s="1"/>
      <c r="L68" s="1"/>
      <c r="M68" s="1"/>
      <c r="N68" s="1"/>
      <c r="O68" s="1"/>
      <c r="P68" s="1"/>
    </row>
  </sheetData>
  <mergeCells count="1">
    <mergeCell ref="O4:P4"/>
  </mergeCells>
  <phoneticPr fontId="0" type="noConversion"/>
  <conditionalFormatting sqref="Q5:Q7">
    <cfRule type="cellIs" dxfId="8" priority="9" operator="equal">
      <formula>1</formula>
    </cfRule>
  </conditionalFormatting>
  <conditionalFormatting sqref="J12:K16">
    <cfRule type="expression" dxfId="7" priority="49" stopIfTrue="1">
      <formula>C$19=$C$16+1</formula>
    </cfRule>
    <cfRule type="expression" dxfId="6" priority="50" stopIfTrue="1">
      <formula>C$19&gt;$C$16+1</formula>
    </cfRule>
  </conditionalFormatting>
  <conditionalFormatting sqref="D55:M59 P55:AA59">
    <cfRule type="expression" dxfId="5" priority="51" stopIfTrue="1">
      <formula>D$19=$C$16+1</formula>
    </cfRule>
    <cfRule type="expression" dxfId="4" priority="52" stopIfTrue="1">
      <formula>D$19&gt;$C$16+1</formula>
    </cfRule>
  </conditionalFormatting>
  <conditionalFormatting sqref="D13:D16">
    <cfRule type="expression" dxfId="3" priority="3">
      <formula>$G$7=2</formula>
    </cfRule>
    <cfRule type="expression" dxfId="2" priority="4">
      <formula>$G$7=1</formula>
    </cfRule>
  </conditionalFormatting>
  <conditionalFormatting sqref="C13:C16">
    <cfRule type="expression" dxfId="1" priority="1">
      <formula>$G$7=1</formula>
    </cfRule>
    <cfRule type="expression" dxfId="0" priority="2">
      <formula>$G$7=2</formula>
    </cfRule>
  </conditionalFormatting>
  <hyperlinks>
    <hyperlink ref="I1" location="'Decision Tree'!A1" display="Back to model"/>
  </hyperlink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6" r:id="rId4" name="Option Button 10">
              <controlPr defaultSize="0" autoFill="0" autoLine="0" autoPict="0" macro="[0]!Group1_Click">
                <anchor moveWithCells="1">
                  <from>
                    <xdr:col>5</xdr:col>
                    <xdr:colOff>657225</xdr:colOff>
                    <xdr:row>5</xdr:row>
                    <xdr:rowOff>47625</xdr:rowOff>
                  </from>
                  <to>
                    <xdr:col>7</xdr:col>
                    <xdr:colOff>209550</xdr:colOff>
                    <xdr:row>6</xdr:row>
                    <xdr:rowOff>19050</xdr:rowOff>
                  </to>
                </anchor>
              </controlPr>
            </control>
          </mc:Choice>
        </mc:AlternateContent>
        <mc:AlternateContent xmlns:mc="http://schemas.openxmlformats.org/markup-compatibility/2006">
          <mc:Choice Requires="x14">
            <control shapeId="4105" r:id="rId5" name="Option Button 9">
              <controlPr defaultSize="0" autoFill="0" autoLine="0" autoPict="0" macro="[0]!Group1_Click">
                <anchor moveWithCells="1">
                  <from>
                    <xdr:col>5</xdr:col>
                    <xdr:colOff>657225</xdr:colOff>
                    <xdr:row>4</xdr:row>
                    <xdr:rowOff>9525</xdr:rowOff>
                  </from>
                  <to>
                    <xdr:col>7</xdr:col>
                    <xdr:colOff>171450</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Description</vt:lpstr>
      <vt:lpstr>Decision Tree</vt:lpstr>
      <vt:lpstr>Discounted Cashflow</vt:lpstr>
      <vt:lpstr>Cost_of_Capital</vt:lpstr>
      <vt:lpstr>Current_Year</vt:lpstr>
      <vt:lpstr>MarketShareRatio</vt:lpstr>
      <vt:lpstr>ProductHorizon</vt:lpstr>
      <vt:lpstr>Production_Start</vt:lpstr>
      <vt:lpstr>Project_Start</vt:lpstr>
      <vt:lpstr>SimOpt_Var</vt:lpstr>
      <vt:lpstr>TurnAroundCost</vt:lpstr>
    </vt:vector>
  </TitlesOfParts>
  <Company>Oracle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Launch</dc:title>
  <dc:creator>Crystal Ball</dc:creator>
  <cp:keywords>new product, risk, feasibility, simulation, Crystal Ball functions, decision tree</cp:keywords>
  <cp:lastModifiedBy>ewainwri</cp:lastModifiedBy>
  <cp:lastPrinted>2014-08-07T23:17:55Z</cp:lastPrinted>
  <dcterms:created xsi:type="dcterms:W3CDTF">2003-02-17T22:22:42Z</dcterms:created>
  <dcterms:modified xsi:type="dcterms:W3CDTF">2014-08-26T19:40:50Z</dcterms:modified>
  <cp:category>Product Development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